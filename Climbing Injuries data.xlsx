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heet" sheetId="2" r:id="rId5"/>
    <sheet name="Sheet1" sheetId="3" r:id="rId6"/>
    <sheet name="Sheet2" sheetId="4" r:id="rId7"/>
  </sheets>
</workbook>
</file>

<file path=xl/sharedStrings.xml><?xml version="1.0" encoding="utf-8"?>
<sst xmlns="http://schemas.openxmlformats.org/spreadsheetml/2006/main" uniqueCount="618">
  <si>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</si>
  <si>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</si>
  <si>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</si>
  <si>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</si>
  <si>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t>
  </si>
  <si>
    <t>Table 1</t>
  </si>
  <si>
    <t>Respondent ID</t>
  </si>
  <si>
    <t>Collector ID</t>
  </si>
  <si>
    <t>Start Date</t>
  </si>
  <si>
    <t>End Date</t>
  </si>
  <si>
    <t>IP Address</t>
  </si>
  <si>
    <t>Email Address</t>
  </si>
  <si>
    <t>First Name</t>
  </si>
  <si>
    <t>Last Name</t>
  </si>
  <si>
    <t>Custom Data 1</t>
  </si>
  <si>
    <t>What is your age?</t>
  </si>
  <si>
    <t>Birth Sex?</t>
  </si>
  <si>
    <t>How many years have you climbed?</t>
  </si>
  <si>
    <t>What grade do you consider you climb?</t>
  </si>
  <si>
    <t>What grade do you consider you boulder?</t>
  </si>
  <si>
    <t>Have you had any climbing injuries? (check all that apply)</t>
  </si>
  <si>
    <t>Please list your injury.</t>
  </si>
  <si>
    <t>How long did the whole recovery process take before you were climbing at your same grade or better?</t>
  </si>
  <si>
    <t>Did you require surgery? And are you satisfied with the surgery?</t>
  </si>
  <si>
    <t>What surgery did you require?  (leave blank if none)</t>
  </si>
  <si>
    <t>0-18</t>
  </si>
  <si>
    <t>19-26</t>
  </si>
  <si>
    <t>27-35</t>
  </si>
  <si>
    <t>36-45</t>
  </si>
  <si>
    <t>46-60</t>
  </si>
  <si>
    <t>61+</t>
  </si>
  <si>
    <t>Male</t>
  </si>
  <si>
    <t>Female</t>
  </si>
  <si>
    <t>0-1 year</t>
  </si>
  <si>
    <t>2-3 years</t>
  </si>
  <si>
    <t>4-5 years</t>
  </si>
  <si>
    <t>6-8 years</t>
  </si>
  <si>
    <t>9-15</t>
  </si>
  <si>
    <t>15+</t>
  </si>
  <si>
    <t>5.9 or less</t>
  </si>
  <si>
    <t>5.10a-5.11a</t>
  </si>
  <si>
    <t>5.11b-5.11d</t>
  </si>
  <si>
    <t>5.12a-5.12d</t>
  </si>
  <si>
    <t>5.13a-5.13d</t>
  </si>
  <si>
    <t>5.14+</t>
  </si>
  <si>
    <t>V0-V3</t>
  </si>
  <si>
    <t>V4-V5</t>
  </si>
  <si>
    <t>V6-V7</t>
  </si>
  <si>
    <t>V8-V9</t>
  </si>
  <si>
    <t>V10-V12</t>
  </si>
  <si>
    <t>V13+</t>
  </si>
  <si>
    <t>Hand &amp; Elbow</t>
  </si>
  <si>
    <t>Shoulder</t>
  </si>
  <si>
    <t>Spine</t>
  </si>
  <si>
    <t>Pelvis/Hip</t>
  </si>
  <si>
    <t>Knee</t>
  </si>
  <si>
    <t>Foot &amp; Ankle</t>
  </si>
  <si>
    <t>Other</t>
  </si>
  <si>
    <t>Open-Ended Response</t>
  </si>
  <si>
    <t>Less than 1 month</t>
  </si>
  <si>
    <t>1-2 months</t>
  </si>
  <si>
    <t>2-6 months</t>
  </si>
  <si>
    <t>6-12 months</t>
  </si>
  <si>
    <t>1-2 years</t>
  </si>
  <si>
    <t>2-5 years</t>
  </si>
  <si>
    <t>I've never recovered and climb worse</t>
  </si>
  <si>
    <t>I'm still recovering</t>
  </si>
  <si>
    <t>Yes and satisfied with surgery</t>
  </si>
  <si>
    <t>Yes and not satisfied with surgery</t>
  </si>
  <si>
    <t>No</t>
  </si>
  <si>
    <t>No, but I had prescribed physical/occupational therapy</t>
  </si>
  <si>
    <t>Other (please specify)</t>
  </si>
  <si>
    <t>47.215.141.232</t>
  </si>
  <si>
    <t xml:space="preserve">Ruptured Distal Bicep Tendon </t>
  </si>
  <si>
    <t xml:space="preserve">Reattached the distal bicep tendon </t>
  </si>
  <si>
    <t>173.244.48.30</t>
  </si>
  <si>
    <t>Osteochondral lesion talus</t>
  </si>
  <si>
    <t>microfracture, biocartilage</t>
  </si>
  <si>
    <t>104.129.192.65</t>
  </si>
  <si>
    <t>Avulsion of superior peroneal retinaculum resulting in disclocation of peroneal brevis tendon</t>
  </si>
  <si>
    <t>"Repair of peroneal tendons"</t>
  </si>
  <si>
    <t>97.118.202.97</t>
  </si>
  <si>
    <t>Sesamoid Fracture/AVN</t>
  </si>
  <si>
    <t>73.149.247.145</t>
  </si>
  <si>
    <t>Ring fingers</t>
  </si>
  <si>
    <t>160.79.139.10</t>
  </si>
  <si>
    <t>bilateral lateral epicondylitis, left ankle sprain</t>
  </si>
  <si>
    <t>104.8.132.178</t>
  </si>
  <si>
    <t xml:space="preserve">Mild A2 strains, multiple fingers. Central slip injury w/ Buitonerre deformity of the left middle finger. Burst fracture of the T12 after a groundfall, fusion of the T11-T12-L1. Complex talar body fracture with displacement, ORIF w/ 2 screws to fix it. </t>
  </si>
  <si>
    <t>Listed above, but again. T12 burst fracture, fusion of T11-T12-L1. Talar body fracture, ORIF w/ 2 screws from the anterior lateral to the medial posterior.</t>
  </si>
  <si>
    <t>207.87.181.170</t>
  </si>
  <si>
    <t xml:space="preserve">Vertebral body and rib fractures. Hemopneumothorax. </t>
  </si>
  <si>
    <t xml:space="preserve">T3-T9 spinal fusion. Chest tube. </t>
  </si>
  <si>
    <t>72.46.72.148</t>
  </si>
  <si>
    <t>SLAP tear</t>
  </si>
  <si>
    <t>178.244.10.91</t>
  </si>
  <si>
    <t xml:space="preserve">L1 compression fracture </t>
  </si>
  <si>
    <t>73.241.21.22</t>
  </si>
  <si>
    <t xml:space="preserve">Tendon strain 3rd, 4th and 5th finger on both hands. Elbow &amp; wrist issues requiring 3 years off of climbing, extensive chiropractic, physical therapy, graston, ART, and steroid injection. MRI's done, no definite diagnosis. Ortho recommended no surgery. </t>
  </si>
  <si>
    <t>174.29.207.185</t>
  </si>
  <si>
    <t>Tibia fracture at ankle</t>
  </si>
  <si>
    <t>75.168.11.40</t>
  </si>
  <si>
    <t>Medial Epicondylitis</t>
  </si>
  <si>
    <t>97.87.21.136</t>
  </si>
  <si>
    <t xml:space="preserve">climber's elbow, strained tendon in wrist, impaled leg on branch (walking at base of climb, not incurred while climbing) </t>
  </si>
  <si>
    <t>for leg - internal and external sutures (and lots of PT)</t>
  </si>
  <si>
    <t>204.11.105.178</t>
  </si>
  <si>
    <t>Ruptured achilles tendon</t>
  </si>
  <si>
    <t>Percutaneous Achilles Repair Surgery</t>
  </si>
  <si>
    <t>129.97.251.17</t>
  </si>
  <si>
    <t>Right hand: Partially Torn A2 pulley, Full scapholunate ligament tear, other undiagnosed tendon pain. LH: Full Scapholunate ligament tear</t>
  </si>
  <si>
    <t>Scapholunate ligament repair on both hands (separate injuries)</t>
  </si>
  <si>
    <t>99.109.48.209</t>
  </si>
  <si>
    <t>shoulder dislocation</t>
  </si>
  <si>
    <t>labral repair</t>
  </si>
  <si>
    <t>173.49.71.127</t>
  </si>
  <si>
    <t>Toe injury on slab</t>
  </si>
  <si>
    <t>107.77.218.68</t>
  </si>
  <si>
    <t>Strained joints, falling and bruising feet because stupid belayer, countless bruises and scrapes from falling</t>
  </si>
  <si>
    <t>207.216.89.172</t>
  </si>
  <si>
    <t>199.184.236.200</t>
  </si>
  <si>
    <t>knees were sore for weeks following an intense climbing session</t>
  </si>
  <si>
    <t>136.55.10.109</t>
  </si>
  <si>
    <t>L rotator cuff</t>
  </si>
  <si>
    <t>none</t>
  </si>
  <si>
    <t>72.197.37.229</t>
  </si>
  <si>
    <t>Fracture on my right medial malleolus, tweaked left wrist</t>
  </si>
  <si>
    <t>Screws in my ankle, nothing for my wrist</t>
  </si>
  <si>
    <t>172.103.173.118</t>
  </si>
  <si>
    <t>Tedonitis Med epicondyle; rotator cuff tear; sprained ankle</t>
  </si>
  <si>
    <t>174.199.32.109</t>
  </si>
  <si>
    <t>tendonitis from weight lifting, aggravated by climbing, minor tendon strain in hand</t>
  </si>
  <si>
    <t>199.204.56.142</t>
  </si>
  <si>
    <t>Sports hernia</t>
  </si>
  <si>
    <t>62.244.27.230</t>
  </si>
  <si>
    <t>A2, A4 pulleys strains, lateral and medial epicondylitis</t>
  </si>
  <si>
    <t>104.132.133.74</t>
  </si>
  <si>
    <t>Muscle sprain in little finger (no obvious cause except overuse)</t>
  </si>
  <si>
    <t>67.41.138.147</t>
  </si>
  <si>
    <t>torn tendon in finger</t>
  </si>
  <si>
    <t>24.84.206.88</t>
  </si>
  <si>
    <t>Shoulder dislocation</t>
  </si>
  <si>
    <t>162.204.61.81</t>
  </si>
  <si>
    <t>Climbers elbow both arms</t>
  </si>
  <si>
    <t>73.242.27.114</t>
  </si>
  <si>
    <t>Dislocated toes</t>
  </si>
  <si>
    <t>174.211.1.28</t>
  </si>
  <si>
    <t xml:space="preserve">Broken foot </t>
  </si>
  <si>
    <t>67.165.206.9</t>
  </si>
  <si>
    <t>A4 pulley on 2 fingers, strained hamstring</t>
  </si>
  <si>
    <t>76.242.146.144</t>
  </si>
  <si>
    <t>Thumb injury - tendinitis</t>
  </si>
  <si>
    <t>67.11.104.221</t>
  </si>
  <si>
    <t>A2 pulley in right pinky finger</t>
  </si>
  <si>
    <t>74.104.189.207</t>
  </si>
  <si>
    <t>Tendon stress</t>
  </si>
  <si>
    <t>174.103.156.108</t>
  </si>
  <si>
    <t>Elbow tendonitis</t>
  </si>
  <si>
    <t>142.0.96.33</t>
  </si>
  <si>
    <t>A4 pulley strain</t>
  </si>
  <si>
    <t>93.107.246.25</t>
  </si>
  <si>
    <t xml:space="preserve">Meniscus tear </t>
  </si>
  <si>
    <t>98.116.70.46</t>
  </si>
  <si>
    <t>Believed toe sprain and wrist tendon issue</t>
  </si>
  <si>
    <t>24.46.147.65</t>
  </si>
  <si>
    <t>A2 ring finger 3 times, hamstring, shoulder</t>
  </si>
  <si>
    <t>115.66.95.61</t>
  </si>
  <si>
    <t>Tweaky tendons, wrist sprains from hitting holds while falling, sprained ankle while taking a lead fall and hitting it on a jug</t>
  </si>
  <si>
    <t>24.6.65.0</t>
  </si>
  <si>
    <t>Sprained while doing a weird boulder problem, didnt dislocate but felt loose and in pain</t>
  </si>
  <si>
    <t>75.177.131.103</t>
  </si>
  <si>
    <t>Finger sprains and rotator cuff sprain</t>
  </si>
  <si>
    <t>71.34.79.200</t>
  </si>
  <si>
    <t>popped A4 tendon in L ring finger, strained A2 R ring finger.  right shoulder internal impingement.  right foot ankle sprain. lots of other finger tweaks</t>
  </si>
  <si>
    <t>96.37.230.56</t>
  </si>
  <si>
    <t>pulled finger muscle</t>
  </si>
  <si>
    <t>161.98.1.204</t>
  </si>
  <si>
    <t xml:space="preserve">Torn labrum </t>
  </si>
  <si>
    <t>83.23.201.222</t>
  </si>
  <si>
    <t xml:space="preserve">ligaments strain </t>
  </si>
  <si>
    <t>172.4.56.234</t>
  </si>
  <si>
    <t>Sprained knuckle, twisted ankle, sprained MCL, lower back pain, left shoulder tendonosis, mild De Quervain's</t>
  </si>
  <si>
    <t>73.170.186.155</t>
  </si>
  <si>
    <t>Climbers elbow, tight shoulders, twisted ankles</t>
  </si>
  <si>
    <t>158.174.4.118</t>
  </si>
  <si>
    <t>Left Shoulder, streched rotorcuff or joint</t>
  </si>
  <si>
    <t>70.214.65.226</t>
  </si>
  <si>
    <t>Medial epiconylitis (golfer’s elbow)</t>
  </si>
  <si>
    <t>174.193.140.29</t>
  </si>
  <si>
    <t>All kinds of wrist injuries</t>
  </si>
  <si>
    <t>95.199.153.118</t>
  </si>
  <si>
    <t>Tfc tear in wrist, various flexor tendon strains</t>
  </si>
  <si>
    <t>92.243.225.26</t>
  </si>
  <si>
    <t>sprained rotator cuff, pulleys A2</t>
  </si>
  <si>
    <t>24.212.163.246</t>
  </si>
  <si>
    <t>sprained ankle</t>
  </si>
  <si>
    <t>50.113.5.37</t>
  </si>
  <si>
    <t>FHB tendonitis/tendonosis</t>
  </si>
  <si>
    <t>65.131.149.244</t>
  </si>
  <si>
    <t>Shoulder Impengent (self diagnosed)</t>
  </si>
  <si>
    <t>101.190.109.207</t>
  </si>
  <si>
    <t>Ulnar collateral ligament injury</t>
  </si>
  <si>
    <t>67.253.27.213</t>
  </si>
  <si>
    <t>Strained shoulder (both R and L) - trying to scale too quickly. Foot/Ankle injury was associated more with long distance mountain running (and peak scrambling) than climbing itself.</t>
  </si>
  <si>
    <t>74.137.239.157</t>
  </si>
  <si>
    <t>popped finger pulley; strained/severely sore pulleys; severely strained bicep tendon</t>
  </si>
  <si>
    <t>185.69.145.99</t>
  </si>
  <si>
    <t>Shoulder (wrenched out when I fell but didn't let go). A pulley injury on my ring finger left hand. A wrist injury on my left hand.</t>
  </si>
  <si>
    <t>184.64.181.219</t>
  </si>
  <si>
    <t>Finger pulley</t>
  </si>
  <si>
    <t>74.133.136.146</t>
  </si>
  <si>
    <t>Collateral ligament sprain</t>
  </si>
  <si>
    <t>71.13.228.57</t>
  </si>
  <si>
    <t>Broken collar bone</t>
  </si>
  <si>
    <t>Plate and 6 screws</t>
  </si>
  <si>
    <t>77.103.226.15</t>
  </si>
  <si>
    <t>Trigger finger, collateral ligament injuries, synovitis</t>
  </si>
  <si>
    <t>Cortisone injections</t>
  </si>
  <si>
    <t>76.169.178.79</t>
  </si>
  <si>
    <t>Leg. Spiral fracture of tibia, fracture of fibula</t>
  </si>
  <si>
    <t>Intermedullary nail, 4 screws. Removed at 6 months due to non-healing sore, removal also resolved never-ending knee pain at top of nail.</t>
  </si>
  <si>
    <t>76.103.17.63</t>
  </si>
  <si>
    <t>Pully strain, ruptured achilles tendon, sciatica</t>
  </si>
  <si>
    <t>achilles tendon repair</t>
  </si>
  <si>
    <t>82.122.250.21</t>
  </si>
  <si>
    <t>Multiple pulley strains</t>
  </si>
  <si>
    <t>77.218.251.192</t>
  </si>
  <si>
    <t>Unknown wrist injury, shoulder was damaged rotator cuff.</t>
  </si>
  <si>
    <t>67.9.128.195</t>
  </si>
  <si>
    <t>Middle and ring finger tendons pulled</t>
  </si>
  <si>
    <t>89.65.168.45</t>
  </si>
  <si>
    <t>golfers elbow, A2 pulley ring ringer both hands</t>
  </si>
  <si>
    <t>178.27.129.216</t>
  </si>
  <si>
    <t>Talus fracture, golfers elbow, ganglion at a2 pulley (ultrasound)</t>
  </si>
  <si>
    <t>69.159.29.162</t>
  </si>
  <si>
    <t>Trimalleolar Fracture</t>
  </si>
  <si>
    <t>Open reduction internal fixation</t>
  </si>
  <si>
    <t>73.202.106.78</t>
  </si>
  <si>
    <t>Head injury</t>
  </si>
  <si>
    <t xml:space="preserve">Cervical disc did not have surgery .disc improved on it's own. Now have trouble getting info from clinicians re forearm pain related or not to cervical spine. </t>
  </si>
  <si>
    <t>187.21.71.48</t>
  </si>
  <si>
    <t>Shoulder, ankle and broken foot.</t>
  </si>
  <si>
    <t>90.236.13.125</t>
  </si>
  <si>
    <t>Undiagnosed, but possibly synovitis in middle finger</t>
  </si>
  <si>
    <t>110.22.56.56</t>
  </si>
  <si>
    <t>Tendonitis in the elbow</t>
  </si>
  <si>
    <t>121.215.155.16</t>
  </si>
  <si>
    <t>Tendonitis in Wrist and thumb (de quervain's)</t>
  </si>
  <si>
    <t>49.197.181.243</t>
  </si>
  <si>
    <t>Sore finger joints, shoulder impediment</t>
  </si>
  <si>
    <t>81.234.164.147</t>
  </si>
  <si>
    <t>Meralgia paresthetica</t>
  </si>
  <si>
    <t>51.9.116.86</t>
  </si>
  <si>
    <t>climbers elbow, assortment of finger pulley injuries, pulled/bruised heel (foot arch) and pulled neck muscle.</t>
  </si>
  <si>
    <t>121.214.145.137</t>
  </si>
  <si>
    <t>medial epicondylitis</t>
  </si>
  <si>
    <t>90.16.214.185</t>
  </si>
  <si>
    <t>Triceps muscle strain</t>
  </si>
  <si>
    <t>84.41.29.108</t>
  </si>
  <si>
    <t>golfers elbow, unknown finger injuty probably sheat inflamation, trigger finger</t>
  </si>
  <si>
    <t>217.104.71.119</t>
  </si>
  <si>
    <t>golfers elbow</t>
  </si>
  <si>
    <t>88.98.205.159</t>
  </si>
  <si>
    <t>Sprained ankle, twisted knee</t>
  </si>
  <si>
    <t>47.184.72.212</t>
  </si>
  <si>
    <t xml:space="preserve">Sublaxation. Tendonitis. Partial rotator cuff tear. </t>
  </si>
  <si>
    <t>75.174.101.188</t>
  </si>
  <si>
    <t xml:space="preserve">near wrist tendonitis </t>
  </si>
  <si>
    <t>49.2.132.28</t>
  </si>
  <si>
    <t xml:space="preserve">Soft tissue damage to wrist </t>
  </si>
  <si>
    <t>104.205.131.35</t>
  </si>
  <si>
    <t>wrist</t>
  </si>
  <si>
    <t>47.148.33.120</t>
  </si>
  <si>
    <t>Tendon pulley strain</t>
  </si>
  <si>
    <t>136.62.246.232</t>
  </si>
  <si>
    <t>sprained ankle, tendon sheath tear in finger</t>
  </si>
  <si>
    <t>209.52.88.24</t>
  </si>
  <si>
    <t>Collateral ligament in finger, subluxation in elbow</t>
  </si>
  <si>
    <t>47.222.150.69</t>
  </si>
  <si>
    <t>Moderate sprain.</t>
  </si>
  <si>
    <t>108.173.96.93</t>
  </si>
  <si>
    <t>broke off heel</t>
  </si>
  <si>
    <t>24.2.166.235</t>
  </si>
  <si>
    <t>Popped Finger, sprained knee, A2 pulley injury</t>
  </si>
  <si>
    <t>98.185.214.116</t>
  </si>
  <si>
    <t>severely jammed my thumb</t>
  </si>
  <si>
    <t>71.55.228.161</t>
  </si>
  <si>
    <t>Wrist sprain</t>
  </si>
  <si>
    <t>202.134.144.181</t>
  </si>
  <si>
    <t>Not exactly sure. Very crimpy stuff causes a sharp pain in my elbow which radiates into the bicep and tricep</t>
  </si>
  <si>
    <t>76.67.180.52</t>
  </si>
  <si>
    <t xml:space="preserve">Torn ACL &amp; meniscus </t>
  </si>
  <si>
    <t xml:space="preserve">I am not sure; I am still unsure if I need surgery-my appointment with my orthopaedic surgeon is in a month! </t>
  </si>
  <si>
    <t>75.167.198.37</t>
  </si>
  <si>
    <t>A2 pulley, sprained pectoral, bicep sprain</t>
  </si>
  <si>
    <t>209.6.41.227</t>
  </si>
  <si>
    <t>partial pulley tendon tear, some sort of elbow injury</t>
  </si>
  <si>
    <t>75.70.24.102</t>
  </si>
  <si>
    <t xml:space="preserve">Sprained ankle </t>
  </si>
  <si>
    <t>174.192.9.105</t>
  </si>
  <si>
    <t>Golfer elbow and knee pain</t>
  </si>
  <si>
    <t>101.179.21.85</t>
  </si>
  <si>
    <t>Golfer's elbow</t>
  </si>
  <si>
    <t>68.147.16.208</t>
  </si>
  <si>
    <t>Right shoulder, full thicknes tear of the anterior fibers of the supraspinatus tendon measured at 14 x 5 mm. unofficial self diagonoised tendon pulls/strains in fingers</t>
  </si>
  <si>
    <t>107.77.205.101</t>
  </si>
  <si>
    <t>Tearing of tendons</t>
  </si>
  <si>
    <t>99.225.191.47</t>
  </si>
  <si>
    <t>Grade 3 lateral sprain combined with a grade 1 high ankle sprain</t>
  </si>
  <si>
    <t>Sports physio</t>
  </si>
  <si>
    <t>98.215.126.209</t>
  </si>
  <si>
    <t>Sprained ankle, strained both index fingers (first dorsal interosseous muscle on both)</t>
  </si>
  <si>
    <t>68.146.208.80</t>
  </si>
  <si>
    <t xml:space="preserve">Dislocated shoulder while climbing, but had previous ongoing issues with it. Also the general elbow paint that comes along with climbing. </t>
  </si>
  <si>
    <t>198.27.175.134</t>
  </si>
  <si>
    <t>Multiple pulley tears</t>
  </si>
  <si>
    <t>100.35.220.240</t>
  </si>
  <si>
    <t>Everything</t>
  </si>
  <si>
    <t>24.245.91.95</t>
  </si>
  <si>
    <t>24.207.128.114</t>
  </si>
  <si>
    <t>strained tendon in left hand/arm; torn labrum in both hips</t>
  </si>
  <si>
    <t>I'm supposed to get surgery on my hip, but it doesn't affect my climbing so fuck that (hurt it running)</t>
  </si>
  <si>
    <t>173.23.248.130</t>
  </si>
  <si>
    <t>"Climbers elbow", nerve pain in posterior/lateral deltoids</t>
  </si>
  <si>
    <t>69.159.140.97</t>
  </si>
  <si>
    <t>70.95.89.124</t>
  </si>
  <si>
    <t xml:space="preserve">Strained pulleys or sheaths of 6/8 fingers. rotator cuff injury. meniscus tear in knee from bouldering. </t>
  </si>
  <si>
    <t>108.7.74.192</t>
  </si>
  <si>
    <t>Sprain</t>
  </si>
  <si>
    <t>103.91.174.6</t>
  </si>
  <si>
    <t>A2 pulley (of course!) on left ring finger, and left hip flexor - although my left hip flexors are slightly weird/out of place, inherited from mother. Like muscle glides over each other or maybe tendon, can become bad if I slip while its snagged against another flexor.</t>
  </si>
  <si>
    <t>Went to PT for hip flexor, they did muscle activation therapy/massage. Didn't do anything for a week and its been getting better since. A2 took like 2-3weeks</t>
  </si>
  <si>
    <t>99.233.183.237</t>
  </si>
  <si>
    <t>finger</t>
  </si>
  <si>
    <t>70.113.22.81</t>
  </si>
  <si>
    <t>pulley, tweaked shoulder, back (but here I'm talking about finger pulley)</t>
  </si>
  <si>
    <t>209.99.215.217</t>
  </si>
  <si>
    <t>Upper back muscle flares-ups that my chiropractor improved beyond pre-injury. Now dealing with what seems like the beginnings of tendinosis in both elbows.</t>
  </si>
  <si>
    <t>71.205.17.191</t>
  </si>
  <si>
    <t xml:space="preserve">Finger, wrist, and elbow tendinitis </t>
  </si>
  <si>
    <t>45.37.114.94</t>
  </si>
  <si>
    <t>A4 Pulley rupture</t>
  </si>
  <si>
    <t>73.180.231.71</t>
  </si>
  <si>
    <t>finger pulley</t>
  </si>
  <si>
    <t>67.60.37.11</t>
  </si>
  <si>
    <t xml:space="preserve">Gastroc tear </t>
  </si>
  <si>
    <t>70.162.126.200</t>
  </si>
  <si>
    <t>Dislocation / torn labrum</t>
  </si>
  <si>
    <t>Bankart repair</t>
  </si>
  <si>
    <t>75.170.191.16</t>
  </si>
  <si>
    <t>strained finger</t>
  </si>
  <si>
    <t>96.28.83.69</t>
  </si>
  <si>
    <t xml:space="preserve">Tearing shoulder tissue. Swollen middle finger </t>
  </si>
  <si>
    <t>68.105.131.227</t>
  </si>
  <si>
    <t>Snapped A2 pulley on ring finger.</t>
  </si>
  <si>
    <t>1.136.105.207</t>
  </si>
  <si>
    <t>Bursitis, wrist tendonitis</t>
  </si>
  <si>
    <t>96.43.179.8</t>
  </si>
  <si>
    <t>Hand, wrist, and elbow tendonitis. Sprained ankle</t>
  </si>
  <si>
    <t>107.77.245.3</t>
  </si>
  <si>
    <t>Elbow tendinitis, mild shoulder pain, lower back pain</t>
  </si>
  <si>
    <t>107.190.47.16</t>
  </si>
  <si>
    <t>collateral ligament in the thumb</t>
  </si>
  <si>
    <t>98.248.217.141</t>
  </si>
  <si>
    <t>Right Calcaneous Fracture (3 pieces)</t>
  </si>
  <si>
    <t>ORIF including only 3 screws</t>
  </si>
  <si>
    <t>173.70.65.142</t>
  </si>
  <si>
    <t>Elbow tendon tension; Twisted ankle</t>
  </si>
  <si>
    <t>76.127.14.8</t>
  </si>
  <si>
    <t>Fell ice climbing and broke my talus 2 years ago.</t>
  </si>
  <si>
    <t>initially did not need any; but 16 month in had surgery for a bone spur that was blocking the joint. Still lacking full range of motion and strength in the ankle 2 years after the fall. I am back to climbing, but not running yet.</t>
  </si>
  <si>
    <t>68.84.154.67</t>
  </si>
  <si>
    <t>A2 pulley injury, pulled rib, pinched neck nerve</t>
  </si>
  <si>
    <t>163.47.115.56</t>
  </si>
  <si>
    <t>Tendonitis</t>
  </si>
  <si>
    <t>70.65.96.229</t>
  </si>
  <si>
    <t xml:space="preserve">Two sprained ankles, and a tendon tear in my ring finger in my right hand </t>
  </si>
  <si>
    <t>187.189.109.96</t>
  </si>
  <si>
    <t xml:space="preserve">Hurt rotator cuff, sprained ankle, golfers elbow </t>
  </si>
  <si>
    <t>63.146.16.50</t>
  </si>
  <si>
    <t>Hurt some sort of Tendon in my wrist while pulling hard on an undercling 2 finger pocket</t>
  </si>
  <si>
    <t>73.20.23.181</t>
  </si>
  <si>
    <t xml:space="preserve">Torn rotator cuff, talar dome fracture </t>
  </si>
  <si>
    <t>Ankle arthroscopy</t>
  </si>
  <si>
    <t>73.214.225.222</t>
  </si>
  <si>
    <t>A2 pulley strain</t>
  </si>
  <si>
    <t>172.98.79.201</t>
  </si>
  <si>
    <t>The tendon that moves your ring finger outwards towards your pinky, partial tear?</t>
  </si>
  <si>
    <t>208.100.142.35</t>
  </si>
  <si>
    <t>sprained ankle from a bad bouldering fall</t>
  </si>
  <si>
    <t>70.124.187.73</t>
  </si>
  <si>
    <t>Climber's elbow (mild-moderate); A4 ring finger tweaks (mild); shoulder impingement/bursitis(?? moderate+); hip flexor.. strain(? moderate); ankle sprain (grade III)</t>
  </si>
  <si>
    <t>Recovery time response re ankle sprain</t>
  </si>
  <si>
    <t>76.94.208.103</t>
  </si>
  <si>
    <t>Tennis elbow</t>
  </si>
  <si>
    <t>172.58.137.142</t>
  </si>
  <si>
    <t xml:space="preserve">Finger tendons inflammation </t>
  </si>
  <si>
    <t>24.143.66.86</t>
  </si>
  <si>
    <t xml:space="preserve">Sciatica from spine, sprained knee, finger synovitis </t>
  </si>
  <si>
    <t>155.99.232.53</t>
  </si>
  <si>
    <t>pulley tendon in ring finger, RH; ganglion cyst, inner thumb area, RH; rotator strain, LS</t>
  </si>
  <si>
    <t>I have not had surgery for the finger or shoulder issue. The shoulder was fine after about 2 months of rest/PT. Finger has been painful for ~8 months, but I haven't fully rested it. For my wrist, I had an ultrasound-guided aspriation as the cyst was restricting mobility and quite painful. That was about a month ago, and so fart the cyst has remained small and it does not hurt yet.</t>
  </si>
  <si>
    <t>23.114.32.11</t>
  </si>
  <si>
    <t>broken collarbone (not climbing related), elbow tendinitis, a2 pulley injury in left middle finger, dislocated right thumb</t>
  </si>
  <si>
    <t xml:space="preserve">just for collarbone, others did not require surgery. </t>
  </si>
  <si>
    <t>108.70.134.250</t>
  </si>
  <si>
    <t>A2 pulley, climber’s Elbow, rotator cuff tendinitis</t>
  </si>
  <si>
    <t>66.87.130.30</t>
  </si>
  <si>
    <t>Sprained ankle; sprained wrist</t>
  </si>
  <si>
    <t>73.148.102.100</t>
  </si>
  <si>
    <t>Torn meniscus, sprained ankle, some mystery shoulder injury that still hurts, torn collateral ligament middle finger, multiple A2 injuries from tweaks to couldn't open doors for 3 months</t>
  </si>
  <si>
    <t>98.184.154.16</t>
  </si>
  <si>
    <t>12.170.95.228</t>
  </si>
  <si>
    <t>torn lumerical, sprained pulley, tfcc, golfer elbow, shoulder</t>
  </si>
  <si>
    <t>213.89.207.252</t>
  </si>
  <si>
    <t xml:space="preserve">Finger: Lots of pain in one finger, lasted for a while, disappeared and later came back. It's fine now though! Shoulder: Minor pain after certain tough gaston-moves, nothing serious. Knee: I'm clumsy and hit my knees on the wall or on holds from time to time. Especially left knee, nothing too severe but not really minor either. </t>
  </si>
  <si>
    <t>108.30.223.144</t>
  </si>
  <si>
    <t>Lateral Collateral Ligament Tweak</t>
  </si>
  <si>
    <t>172.56.34.28</t>
  </si>
  <si>
    <t>76.170.184.9</t>
  </si>
  <si>
    <t>a2 pulley tear index finger</t>
  </si>
  <si>
    <t>24.44.49.236</t>
  </si>
  <si>
    <t>Tweaked tendons in non-dominant pointer and middle finger</t>
  </si>
  <si>
    <t>24.194.0.146</t>
  </si>
  <si>
    <t>Ingrown toenails from tight climbing shoes, torn finger skin, sprained wrist, pulled back muscles, various scrapes and cuts, smashed my funny bone so hard I had chronic nerve irritation (sporadic numbness/tingling of the pinky and ring fingers), currently dealing with chronic shoulder pain/inflammation. Luckily never anything very serious.</t>
  </si>
  <si>
    <t>99.95.238.34</t>
  </si>
  <si>
    <t>76.182.252.155</t>
  </si>
  <si>
    <t>Both medial and lateral on left elbow. Still have after taking last couple of months off. 7 weeks of PT didn't help. Just sitting here for Christmas break doing nothing.</t>
  </si>
  <si>
    <t>98.226.158.223</t>
  </si>
  <si>
    <t>Sore/strained A4 pulleys in fingers.</t>
  </si>
  <si>
    <t>96.42.34.192</t>
  </si>
  <si>
    <t>Fractured calcaneus</t>
  </si>
  <si>
    <t>76.101.168.197</t>
  </si>
  <si>
    <t>Overuse injuries on my elbow</t>
  </si>
  <si>
    <t>Blank</t>
  </si>
  <si>
    <t>68.6.167.29</t>
  </si>
  <si>
    <t>L ankle sprain, R mid finger injury</t>
  </si>
  <si>
    <t>70.189.235.160</t>
  </si>
  <si>
    <t>ruptured tendon in fingers</t>
  </si>
  <si>
    <t>73.83.17.132</t>
  </si>
  <si>
    <t>Synovitis (I think) in finger joints. Outer wrist pain. Knee instability, locking, MCL/ACL weakness. Hamstring (not injured while climbing but aggravated by climbing)</t>
  </si>
  <si>
    <t>104.59.237.2</t>
  </si>
  <si>
    <t>Pulley injury in pinky</t>
  </si>
  <si>
    <t>47.184.207.237</t>
  </si>
  <si>
    <t>Severe ankle sprain</t>
  </si>
  <si>
    <t>66.87.153.145</t>
  </si>
  <si>
    <t>Sore tendons in hand, sprained ankle</t>
  </si>
  <si>
    <t>120.22.39.109</t>
  </si>
  <si>
    <t>Lateral epicondylitis; sore PIP middle finger</t>
  </si>
  <si>
    <t>90.196.10.101</t>
  </si>
  <si>
    <t xml:space="preserve">Finger pain (tightness in morning only) </t>
  </si>
  <si>
    <t>66.76.79.87</t>
  </si>
  <si>
    <t>Tendon Injury ("Tennis Elbow")</t>
  </si>
  <si>
    <t>66.87.135.18</t>
  </si>
  <si>
    <t>Upper left arm lacerations, right hand lacerations, left middle finger pull strain</t>
  </si>
  <si>
    <t>174.215.6.140</t>
  </si>
  <si>
    <t>Broke 3 toes</t>
  </si>
  <si>
    <t>99.229.246.120</t>
  </si>
  <si>
    <t xml:space="preserve">Piriformis syndrome, finger pulley and ligament strains/ tears, climbers elbow, various knee issues, sprained ankle, broken foot, broken fingers, finger bruising and many more </t>
  </si>
  <si>
    <t>65.128.80.244</t>
  </si>
  <si>
    <t>Tendonitis (wrist/hand pain). Rotator cuff injury</t>
  </si>
  <si>
    <t>96.225.48.127</t>
  </si>
  <si>
    <t>Fractured left talus and broken right ankle</t>
  </si>
  <si>
    <t>Screws and plate in talus and screws and plate in ankle</t>
  </si>
  <si>
    <t>67.230.140.153</t>
  </si>
  <si>
    <t>Upper back tightness that led to extreme neck pain</t>
  </si>
  <si>
    <t>50.197.136.205</t>
  </si>
  <si>
    <t>Fingers, Hamstring tear, etc.</t>
  </si>
  <si>
    <t>100.2.73.247</t>
  </si>
  <si>
    <t>Tendinitis, slammed my kneecap into a bolt and had a hard time putting weight on that leg</t>
  </si>
  <si>
    <t>94.214.151.201</t>
  </si>
  <si>
    <t>A2 pulley (x2 ring fingers), strain on left middle finger</t>
  </si>
  <si>
    <t>192.203.37.3</t>
  </si>
  <si>
    <t>A2 pulley partial tear, elbow tendonitis</t>
  </si>
  <si>
    <t>104.62.181.123</t>
  </si>
  <si>
    <t>Pulley tendons, ankle, fractured kneecap</t>
  </si>
  <si>
    <t>64.183.178.194</t>
  </si>
  <si>
    <t>Level 3 Ankle Sprain</t>
  </si>
  <si>
    <t>65.158.225.162</t>
  </si>
  <si>
    <t>A2 pulley tear, index finger</t>
  </si>
  <si>
    <t>24.8.122.161</t>
  </si>
  <si>
    <t>Pulled my right gluteus taking a nasty fall doing a heel hook. The ass muscle is a terrible muscle to pull...</t>
  </si>
  <si>
    <t>68.96.20.126</t>
  </si>
  <si>
    <t xml:space="preserve">Mostly muscle strains, sometimes fairly severe. Had a partial ACL tear after jumping off a boulder warm up at a new gym I wasn’t used to. Had ACL surgery. Pretty sure partially torn labrum right shoulder. Both elbows tendinitis almost gone. Continuous psoas strains it seems like from lifting. Working on it. Maybe not spine per say. </t>
  </si>
  <si>
    <t xml:space="preserve">ACL. Before reinjuring my meniscus it was totally pain free. Think the ACL is completely in tact still had it checked by ortho no MRI though. </t>
  </si>
  <si>
    <t>173.162.0.226</t>
  </si>
  <si>
    <t xml:space="preserve">Groin, Hamstring, Toe, Ribcage </t>
  </si>
  <si>
    <t>108.176.29.170</t>
  </si>
  <si>
    <t>Torn anterior talofibular ankle ligament</t>
  </si>
  <si>
    <t>107.77.212.203</t>
  </si>
  <si>
    <t xml:space="preserve">Broken metatarsal, crush injury to foot/ankle </t>
  </si>
  <si>
    <t>4.14.43.194</t>
  </si>
  <si>
    <t xml:space="preserve">Chostochondrisis (chest strain), adjusted shoulder muscles and forearm muscles, skin tearing on hands </t>
  </si>
  <si>
    <t>63.140.20.45</t>
  </si>
  <si>
    <t>Injured tendons in wrist, back of forearm and shoulder</t>
  </si>
  <si>
    <t>147.147.218.86</t>
  </si>
  <si>
    <t>Rotator cuff</t>
  </si>
  <si>
    <t>71.168.224.247</t>
  </si>
  <si>
    <t>No Injuries. Ankle pain and wrist pain lasting several weeks but eventually going away......</t>
  </si>
  <si>
    <t>174.239.0.124</t>
  </si>
  <si>
    <t xml:space="preserve">A2 pulley strain, tendonitis and tendonosis in elbow, rotator cuff injury </t>
  </si>
  <si>
    <t>77.96.144.19</t>
  </si>
  <si>
    <t>Tricep</t>
  </si>
  <si>
    <t>96.10.250.142</t>
  </si>
  <si>
    <t>joint bursitis</t>
  </si>
  <si>
    <t>75.50.189.187</t>
  </si>
  <si>
    <t>Pully strain</t>
  </si>
  <si>
    <t>152.7.224.2</t>
  </si>
  <si>
    <t>Tendon overuse, IT band</t>
  </si>
  <si>
    <t>67.168.79.52</t>
  </si>
  <si>
    <t xml:space="preserve">Rotator Cuff </t>
  </si>
  <si>
    <t>37.228.241.38</t>
  </si>
  <si>
    <t>Pulled a pully in left middle finger, pulled muscle below knee.</t>
  </si>
  <si>
    <t>76.120.121.5</t>
  </si>
  <si>
    <t>A2 Pulley Tear</t>
  </si>
  <si>
    <t>198.2.82.152</t>
  </si>
  <si>
    <t>Broken ankle and sprained ankle</t>
  </si>
  <si>
    <t>99.203.129.195</t>
  </si>
  <si>
    <t>Wrist repetitive stress injury, A4 pulley</t>
  </si>
  <si>
    <t>107.77.204.217</t>
  </si>
  <si>
    <t>My wrist hurts sometimes after I climb</t>
  </si>
  <si>
    <t>97.41.2.137</t>
  </si>
  <si>
    <t>Flexor strain, ankle sprain</t>
  </si>
  <si>
    <t>24.7.19.163</t>
  </si>
  <si>
    <t>Pulley strain/ partial tear, golfer's elbow</t>
  </si>
  <si>
    <t>24.228.9.145</t>
  </si>
  <si>
    <t>Recurrent dislocations, bankart repair</t>
  </si>
  <si>
    <t>63.153.31.28</t>
  </si>
  <si>
    <t>biceps tendonitis, torn meniscus (bucket handle), countless finger tweaks, broken big toe</t>
  </si>
  <si>
    <t>arthroscopic surgery to remove the torn meniscus piece</t>
  </si>
  <si>
    <t>74.101.48.18</t>
  </si>
  <si>
    <t>climbers elbow, lumbrical tear in hand, sprained ankle, wrist inflammation, partial rotator cuff tear, ruptured patellar tendon</t>
  </si>
  <si>
    <t>Patellar tendon repair</t>
  </si>
  <si>
    <t>54.240.196.170</t>
  </si>
  <si>
    <t>Tendonitis, Golfer's elbow</t>
  </si>
  <si>
    <t>80.5.104.103</t>
  </si>
  <si>
    <t>A few popped pulleys, golfers and tennis elbow, tendonitis and shoulder subluxation</t>
  </si>
  <si>
    <t>199.7.158.226</t>
  </si>
  <si>
    <t>Tendonitis in elbow</t>
  </si>
  <si>
    <t>216.38.135.46</t>
  </si>
  <si>
    <t>Two torn a2 pulleys both hands ring finger, twisted ankles</t>
  </si>
  <si>
    <t>73.109.97.90</t>
  </si>
  <si>
    <t>Golfers elbow, Tennis elbow</t>
  </si>
  <si>
    <t>104.3.54.177</t>
  </si>
  <si>
    <t xml:space="preserve">Most severe was a partially torn A2 and A4 pulley. Separate incidents, similar recovery time  </t>
  </si>
  <si>
    <t>24.5.16.129</t>
  </si>
  <si>
    <t>Several broken bones in foot and ankle on both feet</t>
  </si>
  <si>
    <t>Inserted an metal plate and screws into my foot</t>
  </si>
  <si>
    <t>1.144.110.214</t>
  </si>
  <si>
    <t>Left ring finger m2 pulley tear (grade 1)</t>
  </si>
  <si>
    <t>50.99.197.130</t>
  </si>
  <si>
    <t>Concussiom</t>
  </si>
  <si>
    <t>198.48.160.234</t>
  </si>
  <si>
    <t>1. Tendonitis in middle finger.  2.Mild sprain in toe.</t>
  </si>
  <si>
    <t>162.207.207.52</t>
  </si>
  <si>
    <t>a2 pulley injury, hip/leg pain from bad landing</t>
  </si>
  <si>
    <t>73.153.183.234</t>
  </si>
  <si>
    <t>Pully tear, partial</t>
  </si>
  <si>
    <t>68.55.108.208</t>
  </si>
  <si>
    <t>Medial epicondylitis</t>
  </si>
  <si>
    <t>76.182.212.247</t>
  </si>
  <si>
    <t>Frequent shoulder subluxation, a2 pulley strain</t>
  </si>
  <si>
    <t>79.181.70.92</t>
  </si>
  <si>
    <t>Ulnar nerve trapping</t>
  </si>
  <si>
    <t>108.67.64.152</t>
  </si>
  <si>
    <t xml:space="preserve">Fractured thumb. Twisted ankle. </t>
  </si>
  <si>
    <t>69.207.48.154</t>
  </si>
  <si>
    <t>Tendinitis mostly</t>
  </si>
  <si>
    <t>174.217.40.169</t>
  </si>
  <si>
    <t>Flexor tendonitis, bicipital tendonitis/impingement</t>
  </si>
  <si>
    <t>Previous shoulder surgery, symptoms similar to pre-decompression</t>
  </si>
  <si>
    <t>172.58.201.83</t>
  </si>
  <si>
    <t>Ankle dislocation, unknown finger injury</t>
  </si>
  <si>
    <t>71.197.118.5</t>
  </si>
  <si>
    <t>R knee MCL, L knee LCL, R semitendinosis rupture</t>
  </si>
  <si>
    <t>TOTAL</t>
  </si>
  <si>
    <t>182 returned to sport</t>
  </si>
  <si>
    <t>xx</t>
  </si>
  <si>
    <t>AVG</t>
  </si>
  <si>
    <t>AVG MO</t>
  </si>
  <si>
    <t>recovery in months avg</t>
  </si>
  <si>
    <t>avg yr</t>
  </si>
  <si>
    <t>avg grade</t>
  </si>
  <si>
    <t>5.11b</t>
  </si>
  <si>
    <t>unable to return to sport</t>
  </si>
  <si>
    <t>Surgical</t>
  </si>
  <si>
    <t>SURG</t>
  </si>
  <si>
    <t>percent in op group</t>
  </si>
  <si>
    <t>surgical recovery count</t>
  </si>
  <si>
    <t>op</t>
  </si>
  <si>
    <t>nonop</t>
  </si>
  <si>
    <t>percent</t>
  </si>
  <si>
    <t>27pt</t>
  </si>
  <si>
    <t>check, total surgeries</t>
  </si>
  <si>
    <t>AVG SURG</t>
  </si>
  <si>
    <t>avg surg mo</t>
  </si>
  <si>
    <t>surg grade</t>
  </si>
  <si>
    <t>yrs</t>
  </si>
  <si>
    <t>surg avg</t>
  </si>
  <si>
    <t>Nonsurg</t>
  </si>
  <si>
    <t>nonsurg</t>
  </si>
  <si>
    <t>NONOP</t>
  </si>
  <si>
    <t>210pt</t>
  </si>
  <si>
    <t>nonop recovery</t>
  </si>
  <si>
    <t>avg nonop</t>
  </si>
  <si>
    <t>avg nonop mo</t>
  </si>
  <si>
    <t>nonop grade</t>
  </si>
  <si>
    <t>nonop avg</t>
  </si>
  <si>
    <t>percent in nonop group</t>
  </si>
  <si>
    <t>TOTAL number of injuries</t>
  </si>
  <si>
    <t>recovery in mo nonop</t>
  </si>
  <si>
    <t>Sheet1</t>
  </si>
  <si>
    <t>RTS</t>
  </si>
  <si>
    <t>27 surgical patients, 8 unable to return</t>
  </si>
  <si>
    <t>206 nonop patients, 43 unable to return</t>
  </si>
  <si>
    <t>total 233 answered</t>
  </si>
  <si>
    <t>4 did not answer</t>
  </si>
  <si>
    <t>Sheet2</t>
  </si>
</sst>
</file>

<file path=xl/styles.xml><?xml version="1.0" encoding="utf-8"?>
<styleSheet xmlns="http://schemas.openxmlformats.org/spreadsheetml/2006/main">
  <numFmts count="2">
    <numFmt numFmtId="0" formatCode="General"/>
    <numFmt numFmtId="59" formatCode="yyyy&quot;-&quot;mm&quot;-&quot;dd&quot; &quot;h:mm:ss"/>
  </numFmts>
  <fonts count="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1"/>
      <color indexed="12"/>
      <name val="Arial"/>
    </font>
    <font>
      <sz val="12"/>
      <color indexed="16"/>
      <name val="Calibri"/>
    </font>
    <font>
      <sz val="12"/>
      <color indexed="18"/>
      <name val="Calibri"/>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7"/>
        <bgColor auto="1"/>
      </patternFill>
    </fill>
    <fill>
      <patternFill patternType="solid">
        <fgColor indexed="19"/>
        <bgColor auto="1"/>
      </patternFill>
    </fill>
  </fills>
  <borders count="18">
    <border>
      <left/>
      <right/>
      <top/>
      <bottom/>
      <diagonal/>
    </border>
    <border>
      <left style="thin">
        <color indexed="14"/>
      </left>
      <right style="thin">
        <color indexed="14"/>
      </right>
      <top style="thin">
        <color indexed="14"/>
      </top>
      <bottom style="thin">
        <color indexed="14"/>
      </bottom>
      <diagonal/>
    </border>
    <border>
      <left style="thin">
        <color indexed="15"/>
      </left>
      <right/>
      <top style="thin">
        <color indexed="14"/>
      </top>
      <bottom/>
      <diagonal/>
    </border>
    <border>
      <left/>
      <right/>
      <top style="thin">
        <color indexed="14"/>
      </top>
      <bottom/>
      <diagonal/>
    </border>
    <border>
      <left/>
      <right style="thin">
        <color indexed="15"/>
      </right>
      <top style="thin">
        <color indexed="14"/>
      </top>
      <bottom/>
      <diagonal/>
    </border>
    <border>
      <left style="thin">
        <color indexed="15"/>
      </left>
      <right/>
      <top/>
      <bottom/>
      <diagonal/>
    </border>
    <border>
      <left/>
      <right/>
      <top/>
      <bottom/>
      <diagonal/>
    </border>
    <border>
      <left/>
      <right style="thin">
        <color indexed="15"/>
      </right>
      <top/>
      <bottom/>
      <diagonal/>
    </border>
    <border>
      <left style="thin">
        <color indexed="15"/>
      </left>
      <right style="thin">
        <color indexed="15"/>
      </right>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diagonal/>
    </border>
    <border>
      <left style="thin">
        <color indexed="15"/>
      </left>
      <right style="thin">
        <color indexed="15"/>
      </right>
      <top/>
      <bottom/>
      <diagonal/>
    </border>
    <border>
      <left style="thin">
        <color indexed="15"/>
      </left>
      <right/>
      <top/>
      <bottom style="thin">
        <color indexed="15"/>
      </bottom>
      <diagonal/>
    </border>
    <border>
      <left/>
      <right style="thin">
        <color indexed="15"/>
      </right>
      <top/>
      <bottom style="thin">
        <color indexed="15"/>
      </bottom>
      <diagonal/>
    </border>
    <border>
      <left style="thin">
        <color indexed="15"/>
      </left>
      <right/>
      <top style="thin">
        <color indexed="15"/>
      </top>
      <bottom/>
      <diagonal/>
    </border>
    <border>
      <left/>
      <right style="thin">
        <color indexed="15"/>
      </right>
      <top style="thin">
        <color indexed="15"/>
      </top>
      <bottom/>
      <diagonal/>
    </border>
    <border>
      <left style="thin">
        <color indexed="15"/>
      </left>
      <right/>
      <top style="thin">
        <color indexed="15"/>
      </top>
      <bottom style="thin">
        <color indexed="15"/>
      </bottom>
      <diagonal/>
    </border>
    <border>
      <left/>
      <right style="thin">
        <color indexed="15"/>
      </right>
      <top style="thin">
        <color indexed="15"/>
      </top>
      <bottom style="thin">
        <color indexed="15"/>
      </bottom>
      <diagonal/>
    </border>
  </borders>
  <cellStyleXfs count="1">
    <xf numFmtId="0" fontId="0" applyNumberFormat="0" applyFont="1" applyFill="0" applyBorder="0" applyAlignment="1" applyProtection="0">
      <alignment vertical="bottom"/>
    </xf>
  </cellStyleXfs>
  <cellXfs count="49">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bottom"/>
    </xf>
    <xf numFmtId="0" fontId="6" fillId="4" borderId="1" applyNumberFormat="0" applyFont="1" applyFill="1" applyBorder="1" applyAlignment="1" applyProtection="0">
      <alignment vertical="bottom"/>
    </xf>
    <xf numFmtId="0"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xf numFmtId="59" fontId="0"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3" applyNumberFormat="0" applyFont="1" applyFill="0" applyBorder="1" applyAlignment="1" applyProtection="0">
      <alignment vertical="bottom"/>
    </xf>
    <xf numFmtId="49" fontId="0" borderId="4" applyNumberFormat="1" applyFont="1" applyFill="0" applyBorder="1" applyAlignment="1" applyProtection="0">
      <alignment vertical="bottom"/>
    </xf>
    <xf numFmtId="0" fontId="0" borderId="5" applyNumberFormat="1" applyFont="1" applyFill="0" applyBorder="1" applyAlignment="1" applyProtection="0">
      <alignment vertical="bottom"/>
    </xf>
    <xf numFmtId="0" fontId="0" borderId="6" applyNumberFormat="1" applyFont="1" applyFill="0" applyBorder="1" applyAlignment="1" applyProtection="0">
      <alignment vertical="bottom"/>
    </xf>
    <xf numFmtId="59" fontId="0" borderId="6" applyNumberFormat="1" applyFont="1" applyFill="0" applyBorder="1" applyAlignment="1" applyProtection="0">
      <alignment vertical="bottom"/>
    </xf>
    <xf numFmtId="49" fontId="0" borderId="6" applyNumberFormat="1" applyFont="1" applyFill="0" applyBorder="1" applyAlignment="1" applyProtection="0">
      <alignment vertical="bottom"/>
    </xf>
    <xf numFmtId="0" fontId="0" borderId="6" applyNumberFormat="0" applyFont="1" applyFill="0" applyBorder="1" applyAlignment="1" applyProtection="0">
      <alignment vertical="bottom"/>
    </xf>
    <xf numFmtId="49" fontId="0" borderId="7" applyNumberFormat="1" applyFont="1" applyFill="0" applyBorder="1" applyAlignment="1" applyProtection="0">
      <alignment vertical="bottom"/>
    </xf>
    <xf numFmtId="0" fontId="0" borderId="8" applyNumberFormat="1" applyFont="1" applyFill="0" applyBorder="1" applyAlignment="1" applyProtection="0">
      <alignment vertical="bottom"/>
    </xf>
    <xf numFmtId="59" fontId="0" borderId="8" applyNumberFormat="1" applyFont="1" applyFill="0" applyBorder="1" applyAlignment="1" applyProtection="0">
      <alignment vertical="bottom"/>
    </xf>
    <xf numFmtId="49" fontId="0" borderId="8" applyNumberFormat="1"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1" applyFont="1" applyFill="0" applyBorder="1" applyAlignment="1" applyProtection="0">
      <alignment vertical="bottom"/>
    </xf>
    <xf numFmtId="59" fontId="0" borderId="9" applyNumberFormat="1" applyFont="1" applyFill="0" applyBorder="1" applyAlignment="1" applyProtection="0">
      <alignment vertical="bottom"/>
    </xf>
    <xf numFmtId="49" fontId="0" borderId="9" applyNumberFormat="1" applyFont="1" applyFill="0" applyBorder="1" applyAlignment="1" applyProtection="0">
      <alignment vertical="bottom"/>
    </xf>
    <xf numFmtId="0" fontId="0" borderId="9" applyNumberFormat="0" applyFont="1" applyFill="0" applyBorder="1" applyAlignment="1" applyProtection="0">
      <alignment vertical="bottom"/>
    </xf>
    <xf numFmtId="0" fontId="0" borderId="10" applyNumberFormat="1" applyFont="1" applyFill="0" applyBorder="1" applyAlignment="1" applyProtection="0">
      <alignment vertical="bottom"/>
    </xf>
    <xf numFmtId="59" fontId="0" borderId="10" applyNumberFormat="1" applyFont="1" applyFill="0" applyBorder="1" applyAlignment="1" applyProtection="0">
      <alignment vertical="bottom"/>
    </xf>
    <xf numFmtId="49" fontId="0" borderId="10" applyNumberFormat="1" applyFont="1" applyFill="0" applyBorder="1" applyAlignment="1" applyProtection="0">
      <alignment vertical="bottom"/>
    </xf>
    <xf numFmtId="0" fontId="0" borderId="10" applyNumberFormat="0" applyFont="1" applyFill="0" applyBorder="1" applyAlignment="1" applyProtection="0">
      <alignment vertical="bottom"/>
    </xf>
    <xf numFmtId="0" fontId="0" borderId="11" applyNumberFormat="1" applyFont="1" applyFill="0" applyBorder="1" applyAlignment="1" applyProtection="0">
      <alignment vertical="bottom"/>
    </xf>
    <xf numFmtId="49" fontId="0" borderId="11" applyNumberFormat="1" applyFont="1" applyFill="0" applyBorder="1" applyAlignment="1" applyProtection="0">
      <alignment vertical="bottom"/>
    </xf>
    <xf numFmtId="0" fontId="0" borderId="11" applyNumberFormat="0" applyFont="1" applyFill="0" applyBorder="1" applyAlignment="1" applyProtection="0">
      <alignment vertical="bottom"/>
    </xf>
    <xf numFmtId="0" fontId="7" fillId="5" borderId="6" applyNumberFormat="0" applyFont="1" applyFill="1" applyBorder="1" applyAlignment="1" applyProtection="0">
      <alignment vertical="bottom"/>
    </xf>
    <xf numFmtId="0" fontId="0" borderId="7" applyNumberFormat="0" applyFont="1" applyFill="0" applyBorder="1" applyAlignment="1" applyProtection="0">
      <alignment vertical="bottom"/>
    </xf>
    <xf numFmtId="0" fontId="0" borderId="12" applyNumberFormat="1" applyFont="1" applyFill="0" applyBorder="1" applyAlignment="1" applyProtection="0">
      <alignment vertical="bottom"/>
    </xf>
    <xf numFmtId="0" fontId="0" borderId="13" applyNumberFormat="0" applyFont="1" applyFill="0" applyBorder="1" applyAlignment="1" applyProtection="0">
      <alignment vertical="bottom"/>
    </xf>
    <xf numFmtId="59" fontId="0" borderId="11" applyNumberFormat="1" applyFont="1" applyFill="0" applyBorder="1" applyAlignment="1" applyProtection="0">
      <alignment vertical="bottom"/>
    </xf>
    <xf numFmtId="0" fontId="0" borderId="14" applyNumberFormat="1" applyFont="1" applyFill="0" applyBorder="1" applyAlignment="1" applyProtection="0">
      <alignment vertical="bottom"/>
    </xf>
    <xf numFmtId="0" fontId="0" borderId="15" applyNumberFormat="0" applyFont="1" applyFill="0" applyBorder="1" applyAlignment="1" applyProtection="0">
      <alignment vertical="bottom"/>
    </xf>
    <xf numFmtId="0" fontId="0" borderId="16" applyNumberFormat="1" applyFont="1" applyFill="0" applyBorder="1" applyAlignment="1" applyProtection="0">
      <alignment vertical="bottom"/>
    </xf>
    <xf numFmtId="0" fontId="7" fillId="5" borderId="6" applyNumberFormat="1" applyFont="1" applyFill="1" applyBorder="1" applyAlignment="1" applyProtection="0">
      <alignment vertical="bottom"/>
    </xf>
    <xf numFmtId="0" fontId="8" fillId="6" borderId="6" applyNumberFormat="1" applyFont="1" applyFill="1" applyBorder="1" applyAlignment="1" applyProtection="0">
      <alignment vertical="bottom"/>
    </xf>
    <xf numFmtId="0" fontId="0" borderId="17"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333333"/>
      <rgbColor rgb="ffeaeae8"/>
      <rgbColor rgb="ffa6a6a6"/>
      <rgbColor rgb="ffaaaaaa"/>
      <rgbColor rgb="ff9c0006"/>
      <rgbColor rgb="ffffc7ce"/>
      <rgbColor rgb="ff006100"/>
      <rgbColor rgb="ffc6efce"/>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611</v>
      </c>
      <c r="C11" s="3"/>
      <c r="D11" s="3"/>
    </row>
    <row r="12">
      <c r="B12" s="4"/>
      <c r="C12" t="s" s="4">
        <v>5</v>
      </c>
      <c r="D12" t="s" s="5">
        <v>611</v>
      </c>
    </row>
    <row r="13">
      <c r="B13" t="s" s="3">
        <v>617</v>
      </c>
      <c r="C13" s="3"/>
      <c r="D13" s="3"/>
    </row>
    <row r="14">
      <c r="B14" s="4"/>
      <c r="C14" t="s" s="4">
        <v>5</v>
      </c>
      <c r="D14" t="s" s="5">
        <v>617</v>
      </c>
    </row>
  </sheetData>
  <mergeCells count="1">
    <mergeCell ref="B3:D3"/>
  </mergeCells>
  <hyperlinks>
    <hyperlink ref="D10" location="'Sheet'!R1C1" tooltip="" display="Sheet"/>
    <hyperlink ref="D12" location="'Sheet1'!R1C1" tooltip="" display="Sheet1"/>
    <hyperlink ref="D14" location="'Sheet2'!R1C1" tooltip="" display="Sheet2"/>
  </hyperlinks>
</worksheet>
</file>

<file path=xl/worksheets/sheet2.xml><?xml version="1.0" encoding="utf-8"?>
<worksheet xmlns:r="http://schemas.openxmlformats.org/officeDocument/2006/relationships" xmlns="http://schemas.openxmlformats.org/spreadsheetml/2006/main">
  <dimension ref="A1:BE263"/>
  <sheetViews>
    <sheetView workbookViewId="0" showGridLines="0" defaultGridColor="1"/>
  </sheetViews>
  <sheetFormatPr defaultColWidth="8.83333" defaultRowHeight="14" customHeight="1" outlineLevelRow="0" outlineLevelCol="0"/>
  <cols>
    <col min="1" max="1" width="11.1719" style="6" customWidth="1"/>
    <col min="2" max="2" width="10.1719" style="6" customWidth="1"/>
    <col min="3" max="4" width="18.1719" style="6" customWidth="1"/>
    <col min="5" max="10" width="8.85156" style="6" customWidth="1"/>
    <col min="11" max="11" width="9" style="6" customWidth="1"/>
    <col min="12" max="15" width="8.85156" style="6" customWidth="1"/>
    <col min="16" max="16" width="9" style="6" customWidth="1"/>
    <col min="17" max="20" width="8.85156" style="6" customWidth="1"/>
    <col min="21" max="21" width="9" style="6" customWidth="1"/>
    <col min="22" max="23" width="8.85156" style="6" customWidth="1"/>
    <col min="24" max="24" width="9" style="6" customWidth="1"/>
    <col min="25" max="29" width="8.85156" style="6" customWidth="1"/>
    <col min="30" max="30" width="9" style="6" customWidth="1"/>
    <col min="31" max="40" width="8.85156" style="6" customWidth="1"/>
    <col min="41" max="41" width="9" style="6" customWidth="1"/>
    <col min="42" max="42" width="8.85156" style="6" customWidth="1"/>
    <col min="43" max="43" width="87.6719" style="6" customWidth="1"/>
    <col min="44" max="47" width="8.85156" style="6" customWidth="1"/>
    <col min="48" max="48" width="9" style="6" customWidth="1"/>
    <col min="49" max="51" width="8.85156" style="6" customWidth="1"/>
    <col min="52" max="52" width="9" style="6" customWidth="1"/>
    <col min="53" max="57" width="8.85156" style="6" customWidth="1"/>
    <col min="58" max="16384" width="8.85156" style="6" customWidth="1"/>
  </cols>
  <sheetData>
    <row r="1" ht="14.6" customHeight="1">
      <c r="A1" t="s" s="7">
        <v>6</v>
      </c>
      <c r="B1" t="s" s="7">
        <v>7</v>
      </c>
      <c r="C1" t="s" s="7">
        <v>8</v>
      </c>
      <c r="D1" t="s" s="7">
        <v>9</v>
      </c>
      <c r="E1" t="s" s="7">
        <v>10</v>
      </c>
      <c r="F1" t="s" s="7">
        <v>11</v>
      </c>
      <c r="G1" t="s" s="7">
        <v>12</v>
      </c>
      <c r="H1" t="s" s="7">
        <v>13</v>
      </c>
      <c r="I1" t="s" s="7">
        <v>14</v>
      </c>
      <c r="J1" t="s" s="7">
        <v>15</v>
      </c>
      <c r="K1" s="8"/>
      <c r="L1" s="8"/>
      <c r="M1" s="8"/>
      <c r="N1" s="8"/>
      <c r="O1" s="8"/>
      <c r="P1" t="s" s="7">
        <v>16</v>
      </c>
      <c r="Q1" s="8"/>
      <c r="R1" t="s" s="7">
        <v>17</v>
      </c>
      <c r="S1" s="8"/>
      <c r="T1" s="8"/>
      <c r="U1" s="8"/>
      <c r="V1" s="8"/>
      <c r="W1" s="8"/>
      <c r="X1" t="s" s="7">
        <v>18</v>
      </c>
      <c r="Y1" s="8"/>
      <c r="Z1" s="8"/>
      <c r="AA1" s="8"/>
      <c r="AB1" s="8"/>
      <c r="AC1" s="8"/>
      <c r="AD1" t="s" s="7">
        <v>19</v>
      </c>
      <c r="AE1" s="8"/>
      <c r="AF1" s="8"/>
      <c r="AG1" s="8"/>
      <c r="AH1" s="8"/>
      <c r="AI1" s="8"/>
      <c r="AJ1" t="s" s="7">
        <v>20</v>
      </c>
      <c r="AK1" s="8"/>
      <c r="AL1" s="8"/>
      <c r="AM1" s="8"/>
      <c r="AN1" s="8"/>
      <c r="AO1" s="8"/>
      <c r="AP1" s="8"/>
      <c r="AQ1" t="s" s="7">
        <v>21</v>
      </c>
      <c r="AR1" t="s" s="7">
        <v>22</v>
      </c>
      <c r="AS1" s="8"/>
      <c r="AT1" s="8"/>
      <c r="AU1" s="8"/>
      <c r="AV1" s="8"/>
      <c r="AW1" s="8"/>
      <c r="AX1" s="8"/>
      <c r="AY1" s="8"/>
      <c r="AZ1" t="s" s="7">
        <v>23</v>
      </c>
      <c r="BA1" s="8"/>
      <c r="BB1" s="8"/>
      <c r="BC1" s="8"/>
      <c r="BD1" s="8"/>
      <c r="BE1" t="s" s="7">
        <v>24</v>
      </c>
    </row>
    <row r="2" ht="14.6" customHeight="1">
      <c r="A2" s="8"/>
      <c r="B2" s="8"/>
      <c r="C2" s="8"/>
      <c r="D2" s="8"/>
      <c r="E2" s="8"/>
      <c r="F2" s="8"/>
      <c r="G2" s="8"/>
      <c r="H2" s="8"/>
      <c r="I2" s="8"/>
      <c r="J2" t="s" s="7">
        <v>25</v>
      </c>
      <c r="K2" t="s" s="7">
        <v>26</v>
      </c>
      <c r="L2" t="s" s="7">
        <v>27</v>
      </c>
      <c r="M2" t="s" s="7">
        <v>28</v>
      </c>
      <c r="N2" t="s" s="7">
        <v>29</v>
      </c>
      <c r="O2" t="s" s="7">
        <v>30</v>
      </c>
      <c r="P2" t="s" s="7">
        <v>31</v>
      </c>
      <c r="Q2" t="s" s="7">
        <v>32</v>
      </c>
      <c r="R2" t="s" s="7">
        <v>33</v>
      </c>
      <c r="S2" t="s" s="7">
        <v>34</v>
      </c>
      <c r="T2" t="s" s="7">
        <v>35</v>
      </c>
      <c r="U2" t="s" s="7">
        <v>36</v>
      </c>
      <c r="V2" t="s" s="7">
        <v>37</v>
      </c>
      <c r="W2" t="s" s="7">
        <v>38</v>
      </c>
      <c r="X2" t="s" s="7">
        <v>39</v>
      </c>
      <c r="Y2" t="s" s="7">
        <v>40</v>
      </c>
      <c r="Z2" t="s" s="7">
        <v>41</v>
      </c>
      <c r="AA2" t="s" s="7">
        <v>42</v>
      </c>
      <c r="AB2" t="s" s="7">
        <v>43</v>
      </c>
      <c r="AC2" t="s" s="7">
        <v>44</v>
      </c>
      <c r="AD2" t="s" s="7">
        <v>45</v>
      </c>
      <c r="AE2" t="s" s="7">
        <v>46</v>
      </c>
      <c r="AF2" t="s" s="7">
        <v>47</v>
      </c>
      <c r="AG2" t="s" s="7">
        <v>48</v>
      </c>
      <c r="AH2" t="s" s="7">
        <v>49</v>
      </c>
      <c r="AI2" t="s" s="7">
        <v>50</v>
      </c>
      <c r="AJ2" t="s" s="7">
        <v>51</v>
      </c>
      <c r="AK2" t="s" s="7">
        <v>52</v>
      </c>
      <c r="AL2" t="s" s="7">
        <v>53</v>
      </c>
      <c r="AM2" t="s" s="7">
        <v>54</v>
      </c>
      <c r="AN2" t="s" s="7">
        <v>55</v>
      </c>
      <c r="AO2" t="s" s="7">
        <v>56</v>
      </c>
      <c r="AP2" t="s" s="7">
        <v>57</v>
      </c>
      <c r="AQ2" t="s" s="7">
        <v>58</v>
      </c>
      <c r="AR2" t="s" s="7">
        <v>59</v>
      </c>
      <c r="AS2" t="s" s="7">
        <v>60</v>
      </c>
      <c r="AT2" t="s" s="7">
        <v>61</v>
      </c>
      <c r="AU2" t="s" s="7">
        <v>62</v>
      </c>
      <c r="AV2" t="s" s="7">
        <v>63</v>
      </c>
      <c r="AW2" t="s" s="7">
        <v>64</v>
      </c>
      <c r="AX2" t="s" s="7">
        <v>65</v>
      </c>
      <c r="AY2" t="s" s="7">
        <v>66</v>
      </c>
      <c r="AZ2" t="s" s="7">
        <v>67</v>
      </c>
      <c r="BA2" t="s" s="7">
        <v>68</v>
      </c>
      <c r="BB2" t="s" s="7">
        <v>69</v>
      </c>
      <c r="BC2" t="s" s="7">
        <v>70</v>
      </c>
      <c r="BD2" t="s" s="7">
        <v>71</v>
      </c>
      <c r="BE2" t="s" s="7">
        <v>58</v>
      </c>
    </row>
    <row r="3" ht="15" customHeight="1">
      <c r="A3" s="9">
        <v>6901484638</v>
      </c>
      <c r="B3" s="10">
        <v>167721399</v>
      </c>
      <c r="C3" s="11">
        <v>43267.5459375</v>
      </c>
      <c r="D3" s="11">
        <v>43267.546944444453</v>
      </c>
      <c r="E3" t="s" s="12">
        <v>72</v>
      </c>
      <c r="F3" s="13"/>
      <c r="G3" s="13"/>
      <c r="H3" s="13"/>
      <c r="I3" s="13"/>
      <c r="J3" s="13"/>
      <c r="K3" s="13"/>
      <c r="L3" s="10">
        <v>3</v>
      </c>
      <c r="M3" s="13"/>
      <c r="N3" s="13"/>
      <c r="O3" s="13"/>
      <c r="P3" s="10">
        <v>1</v>
      </c>
      <c r="Q3" s="13"/>
      <c r="R3" s="13"/>
      <c r="S3" s="13"/>
      <c r="T3" s="13"/>
      <c r="U3" s="10">
        <v>4</v>
      </c>
      <c r="V3" s="13"/>
      <c r="W3" s="13"/>
      <c r="X3" s="13"/>
      <c r="Y3" s="13"/>
      <c r="Z3" s="13"/>
      <c r="AA3" s="13"/>
      <c r="AB3" s="13"/>
      <c r="AC3" s="13"/>
      <c r="AD3" s="13"/>
      <c r="AE3" s="13"/>
      <c r="AF3" s="10">
        <v>3</v>
      </c>
      <c r="AG3" s="13"/>
      <c r="AH3" s="13"/>
      <c r="AI3" s="13"/>
      <c r="AJ3" s="10">
        <v>1</v>
      </c>
      <c r="AK3" s="13"/>
      <c r="AL3" s="13"/>
      <c r="AM3" s="13"/>
      <c r="AN3" s="13"/>
      <c r="AO3" s="13"/>
      <c r="AP3" s="13"/>
      <c r="AQ3" t="s" s="12">
        <v>73</v>
      </c>
      <c r="AR3" s="13"/>
      <c r="AS3" s="13"/>
      <c r="AT3" s="13"/>
      <c r="AU3" s="13"/>
      <c r="AV3" s="13"/>
      <c r="AW3" s="13"/>
      <c r="AX3" s="13"/>
      <c r="AY3" s="10">
        <v>8</v>
      </c>
      <c r="AZ3" s="10">
        <v>1</v>
      </c>
      <c r="BA3" s="13"/>
      <c r="BB3" s="13"/>
      <c r="BC3" s="13"/>
      <c r="BD3" s="13"/>
      <c r="BE3" t="s" s="14">
        <v>74</v>
      </c>
    </row>
    <row r="4" ht="15" customHeight="1">
      <c r="A4" s="15">
        <v>6899295413</v>
      </c>
      <c r="B4" s="16">
        <v>167721399</v>
      </c>
      <c r="C4" s="17">
        <v>43263.735</v>
      </c>
      <c r="D4" s="17">
        <v>43263.736122685194</v>
      </c>
      <c r="E4" t="s" s="18">
        <v>75</v>
      </c>
      <c r="F4" s="19"/>
      <c r="G4" s="19"/>
      <c r="H4" s="19"/>
      <c r="I4" s="19"/>
      <c r="J4" s="19"/>
      <c r="K4" s="19"/>
      <c r="L4" s="19"/>
      <c r="M4" s="16">
        <v>4</v>
      </c>
      <c r="N4" s="19"/>
      <c r="O4" s="19"/>
      <c r="P4" s="16">
        <v>1</v>
      </c>
      <c r="Q4" s="19"/>
      <c r="R4" s="19"/>
      <c r="S4" s="19"/>
      <c r="T4" s="19"/>
      <c r="U4" s="16">
        <v>4</v>
      </c>
      <c r="V4" s="19"/>
      <c r="W4" s="19"/>
      <c r="X4" s="19"/>
      <c r="Y4" s="19"/>
      <c r="Z4" s="16">
        <v>3</v>
      </c>
      <c r="AA4" s="19"/>
      <c r="AB4" s="19"/>
      <c r="AC4" s="19"/>
      <c r="AD4" s="19"/>
      <c r="AE4" s="16">
        <v>2</v>
      </c>
      <c r="AF4" s="19"/>
      <c r="AG4" s="19"/>
      <c r="AH4" s="19"/>
      <c r="AI4" s="19"/>
      <c r="AJ4" s="19"/>
      <c r="AK4" s="19"/>
      <c r="AL4" s="19"/>
      <c r="AM4" s="19"/>
      <c r="AN4" s="19"/>
      <c r="AO4" s="16">
        <v>6</v>
      </c>
      <c r="AP4" s="19"/>
      <c r="AQ4" t="s" s="18">
        <v>76</v>
      </c>
      <c r="AR4" s="19"/>
      <c r="AS4" s="19"/>
      <c r="AT4" s="19"/>
      <c r="AU4" s="19"/>
      <c r="AV4" s="19"/>
      <c r="AW4" s="19"/>
      <c r="AX4" s="19"/>
      <c r="AY4" s="16">
        <v>8</v>
      </c>
      <c r="AZ4" s="16">
        <v>1</v>
      </c>
      <c r="BA4" s="19"/>
      <c r="BB4" s="19"/>
      <c r="BC4" s="19"/>
      <c r="BD4" s="19"/>
      <c r="BE4" t="s" s="20">
        <v>77</v>
      </c>
    </row>
    <row r="5" ht="15" customHeight="1">
      <c r="A5" s="15">
        <v>6893714449</v>
      </c>
      <c r="B5" s="16">
        <v>167721399</v>
      </c>
      <c r="C5" s="17">
        <v>43255.415868055563</v>
      </c>
      <c r="D5" s="17">
        <v>43255.417245370372</v>
      </c>
      <c r="E5" t="s" s="18">
        <v>78</v>
      </c>
      <c r="F5" s="19"/>
      <c r="G5" s="19"/>
      <c r="H5" s="19"/>
      <c r="I5" s="19"/>
      <c r="J5" s="19"/>
      <c r="K5" s="19"/>
      <c r="L5" s="16">
        <v>3</v>
      </c>
      <c r="M5" s="19"/>
      <c r="N5" s="19"/>
      <c r="O5" s="19"/>
      <c r="P5" s="19"/>
      <c r="Q5" s="16">
        <v>2</v>
      </c>
      <c r="R5" s="19"/>
      <c r="S5" s="19"/>
      <c r="T5" s="16">
        <v>3</v>
      </c>
      <c r="U5" s="19"/>
      <c r="V5" s="19"/>
      <c r="W5" s="19"/>
      <c r="X5" s="19"/>
      <c r="Y5" s="19"/>
      <c r="Z5" s="16">
        <v>3</v>
      </c>
      <c r="AA5" s="19"/>
      <c r="AB5" s="19"/>
      <c r="AC5" s="19"/>
      <c r="AD5" s="19"/>
      <c r="AE5" s="19"/>
      <c r="AF5" s="16">
        <v>3</v>
      </c>
      <c r="AG5" s="19"/>
      <c r="AH5" s="19"/>
      <c r="AI5" s="19"/>
      <c r="AJ5" s="19"/>
      <c r="AK5" s="19"/>
      <c r="AL5" s="19"/>
      <c r="AM5" s="19"/>
      <c r="AN5" s="19"/>
      <c r="AO5" s="16">
        <v>6</v>
      </c>
      <c r="AP5" s="19"/>
      <c r="AQ5" t="s" s="18">
        <v>79</v>
      </c>
      <c r="AR5" s="19"/>
      <c r="AS5" s="19"/>
      <c r="AT5" s="19"/>
      <c r="AU5" s="19"/>
      <c r="AV5" s="16">
        <v>5</v>
      </c>
      <c r="AW5" s="19"/>
      <c r="AX5" s="19"/>
      <c r="AY5" s="19"/>
      <c r="AZ5" s="16">
        <v>1</v>
      </c>
      <c r="BA5" s="19"/>
      <c r="BB5" s="19"/>
      <c r="BC5" s="19"/>
      <c r="BD5" s="19"/>
      <c r="BE5" t="s" s="20">
        <v>80</v>
      </c>
    </row>
    <row r="6" ht="13.55" customHeight="1">
      <c r="A6" s="21">
        <v>6892980150</v>
      </c>
      <c r="B6" s="21">
        <v>167721399</v>
      </c>
      <c r="C6" s="22">
        <v>43254.137129629627</v>
      </c>
      <c r="D6" s="22">
        <v>43254.138263888890</v>
      </c>
      <c r="E6" t="s" s="23">
        <v>81</v>
      </c>
      <c r="F6" s="24"/>
      <c r="G6" s="24"/>
      <c r="H6" s="24"/>
      <c r="I6" s="24"/>
      <c r="J6" s="24"/>
      <c r="K6" s="24"/>
      <c r="L6" s="24"/>
      <c r="M6" s="21">
        <v>4</v>
      </c>
      <c r="N6" s="24"/>
      <c r="O6" s="24"/>
      <c r="P6" s="24"/>
      <c r="Q6" s="21">
        <v>2</v>
      </c>
      <c r="R6" s="24"/>
      <c r="S6" s="24"/>
      <c r="T6" s="24"/>
      <c r="U6" s="24"/>
      <c r="V6" s="21">
        <v>5</v>
      </c>
      <c r="W6" s="24"/>
      <c r="X6" s="24"/>
      <c r="Y6" s="24"/>
      <c r="Z6" s="21">
        <v>3</v>
      </c>
      <c r="AA6" s="24"/>
      <c r="AB6" s="24"/>
      <c r="AC6" s="24"/>
      <c r="AD6" s="21">
        <v>1</v>
      </c>
      <c r="AE6" s="24"/>
      <c r="AF6" s="24"/>
      <c r="AG6" s="24"/>
      <c r="AH6" s="24"/>
      <c r="AI6" s="24"/>
      <c r="AJ6" s="21">
        <v>1</v>
      </c>
      <c r="AK6" s="24"/>
      <c r="AL6" s="24"/>
      <c r="AM6" s="24"/>
      <c r="AN6" s="24"/>
      <c r="AO6" s="21">
        <v>6</v>
      </c>
      <c r="AP6" s="24"/>
      <c r="AQ6" t="s" s="23">
        <v>82</v>
      </c>
      <c r="AR6" s="24"/>
      <c r="AS6" s="24"/>
      <c r="AT6" s="24"/>
      <c r="AU6" s="24"/>
      <c r="AV6" s="24"/>
      <c r="AW6" s="24"/>
      <c r="AX6" s="24"/>
      <c r="AY6" s="21">
        <v>8</v>
      </c>
      <c r="AZ6" s="24"/>
      <c r="BA6" s="24"/>
      <c r="BB6" s="21">
        <v>3</v>
      </c>
      <c r="BC6" s="24"/>
      <c r="BD6" s="24"/>
      <c r="BE6" s="24"/>
    </row>
    <row r="7" ht="13.55" customHeight="1">
      <c r="A7" s="25">
        <v>6888169821</v>
      </c>
      <c r="B7" s="25">
        <v>167721399</v>
      </c>
      <c r="C7" s="26">
        <v>43246.4338425926</v>
      </c>
      <c r="D7" s="26">
        <v>43246.4345949074</v>
      </c>
      <c r="E7" t="s" s="27">
        <v>83</v>
      </c>
      <c r="F7" s="28"/>
      <c r="G7" s="28"/>
      <c r="H7" s="28"/>
      <c r="I7" s="28"/>
      <c r="J7" s="28"/>
      <c r="K7" s="28"/>
      <c r="L7" s="25">
        <v>3</v>
      </c>
      <c r="M7" s="28"/>
      <c r="N7" s="28"/>
      <c r="O7" s="28"/>
      <c r="P7" s="25">
        <v>1</v>
      </c>
      <c r="Q7" s="28"/>
      <c r="R7" s="28"/>
      <c r="S7" s="28"/>
      <c r="T7" s="28"/>
      <c r="U7" s="25">
        <v>4</v>
      </c>
      <c r="V7" s="28"/>
      <c r="W7" s="28"/>
      <c r="X7" s="28"/>
      <c r="Y7" s="25">
        <v>2</v>
      </c>
      <c r="Z7" s="28"/>
      <c r="AA7" s="28"/>
      <c r="AB7" s="28"/>
      <c r="AC7" s="28"/>
      <c r="AD7" s="28"/>
      <c r="AE7" s="25">
        <v>2</v>
      </c>
      <c r="AF7" s="28"/>
      <c r="AG7" s="28"/>
      <c r="AH7" s="28"/>
      <c r="AI7" s="28"/>
      <c r="AJ7" s="25">
        <v>1</v>
      </c>
      <c r="AK7" s="28"/>
      <c r="AL7" s="28"/>
      <c r="AM7" s="28"/>
      <c r="AN7" s="28"/>
      <c r="AO7" s="28"/>
      <c r="AP7" s="28"/>
      <c r="AQ7" t="s" s="27">
        <v>84</v>
      </c>
      <c r="AR7" s="28"/>
      <c r="AS7" s="28"/>
      <c r="AT7" s="28"/>
      <c r="AU7" s="25">
        <v>4</v>
      </c>
      <c r="AV7" s="28"/>
      <c r="AW7" s="28"/>
      <c r="AX7" s="28"/>
      <c r="AY7" s="28"/>
      <c r="AZ7" s="28"/>
      <c r="BA7" s="28"/>
      <c r="BB7" s="25">
        <v>3</v>
      </c>
      <c r="BC7" s="28"/>
      <c r="BD7" s="28"/>
      <c r="BE7" s="28"/>
    </row>
    <row r="8" ht="13.55" customHeight="1">
      <c r="A8" s="29">
        <v>6888166893</v>
      </c>
      <c r="B8" s="29">
        <v>167721399</v>
      </c>
      <c r="C8" s="30">
        <v>43246.427569444437</v>
      </c>
      <c r="D8" s="30">
        <v>43246.428136574083</v>
      </c>
      <c r="E8" t="s" s="31">
        <v>85</v>
      </c>
      <c r="F8" s="32"/>
      <c r="G8" s="32"/>
      <c r="H8" s="32"/>
      <c r="I8" s="32"/>
      <c r="J8" s="32"/>
      <c r="K8" s="32"/>
      <c r="L8" s="29">
        <v>3</v>
      </c>
      <c r="M8" s="32"/>
      <c r="N8" s="32"/>
      <c r="O8" s="32"/>
      <c r="P8" s="29">
        <v>1</v>
      </c>
      <c r="Q8" s="32"/>
      <c r="R8" s="32"/>
      <c r="S8" s="32"/>
      <c r="T8" s="32"/>
      <c r="U8" s="32"/>
      <c r="V8" s="29">
        <v>5</v>
      </c>
      <c r="W8" s="32"/>
      <c r="X8" s="32"/>
      <c r="Y8" s="29">
        <v>2</v>
      </c>
      <c r="Z8" s="32"/>
      <c r="AA8" s="32"/>
      <c r="AB8" s="32"/>
      <c r="AC8" s="32"/>
      <c r="AD8" s="32"/>
      <c r="AE8" s="29">
        <v>2</v>
      </c>
      <c r="AF8" s="32"/>
      <c r="AG8" s="32"/>
      <c r="AH8" s="32"/>
      <c r="AI8" s="32"/>
      <c r="AJ8" s="29">
        <v>1</v>
      </c>
      <c r="AK8" s="32"/>
      <c r="AL8" s="32"/>
      <c r="AM8" s="32"/>
      <c r="AN8" s="32"/>
      <c r="AO8" s="29">
        <v>6</v>
      </c>
      <c r="AP8" s="32"/>
      <c r="AQ8" t="s" s="31">
        <v>86</v>
      </c>
      <c r="AR8" s="32"/>
      <c r="AS8" s="32"/>
      <c r="AT8" s="32"/>
      <c r="AU8" s="32"/>
      <c r="AV8" s="32"/>
      <c r="AW8" s="29">
        <v>6</v>
      </c>
      <c r="AX8" s="32"/>
      <c r="AY8" s="32"/>
      <c r="AZ8" s="32"/>
      <c r="BA8" s="32"/>
      <c r="BB8" s="29">
        <v>3</v>
      </c>
      <c r="BC8" s="32"/>
      <c r="BD8" s="32"/>
      <c r="BE8" s="32"/>
    </row>
    <row r="9" ht="15" customHeight="1">
      <c r="A9" s="15">
        <v>6888162392</v>
      </c>
      <c r="B9" s="16">
        <v>167721399</v>
      </c>
      <c r="C9" s="17">
        <v>43246.415231481478</v>
      </c>
      <c r="D9" s="17">
        <v>43246.418333333328</v>
      </c>
      <c r="E9" t="s" s="18">
        <v>87</v>
      </c>
      <c r="F9" s="19"/>
      <c r="G9" s="19"/>
      <c r="H9" s="19"/>
      <c r="I9" s="19"/>
      <c r="J9" s="19"/>
      <c r="K9" s="19"/>
      <c r="L9" s="16">
        <v>3</v>
      </c>
      <c r="M9" s="19"/>
      <c r="N9" s="19"/>
      <c r="O9" s="19"/>
      <c r="P9" s="16">
        <v>1</v>
      </c>
      <c r="Q9" s="19"/>
      <c r="R9" s="19"/>
      <c r="S9" s="19"/>
      <c r="T9" s="16">
        <v>3</v>
      </c>
      <c r="U9" s="19"/>
      <c r="V9" s="19"/>
      <c r="W9" s="19"/>
      <c r="X9" s="19"/>
      <c r="Y9" s="19"/>
      <c r="Z9" s="19"/>
      <c r="AA9" s="16">
        <v>4</v>
      </c>
      <c r="AB9" s="19"/>
      <c r="AC9" s="19"/>
      <c r="AD9" s="19"/>
      <c r="AE9" s="19"/>
      <c r="AF9" s="16">
        <v>3</v>
      </c>
      <c r="AG9" s="19"/>
      <c r="AH9" s="19"/>
      <c r="AI9" s="19"/>
      <c r="AJ9" s="16">
        <v>1</v>
      </c>
      <c r="AK9" s="19"/>
      <c r="AL9" s="16">
        <v>3</v>
      </c>
      <c r="AM9" s="19"/>
      <c r="AN9" s="19"/>
      <c r="AO9" s="16">
        <v>6</v>
      </c>
      <c r="AP9" s="19"/>
      <c r="AQ9" t="s" s="18">
        <v>88</v>
      </c>
      <c r="AR9" s="19"/>
      <c r="AS9" s="19"/>
      <c r="AT9" s="16">
        <v>3</v>
      </c>
      <c r="AU9" s="19"/>
      <c r="AV9" s="19"/>
      <c r="AW9" s="19"/>
      <c r="AX9" s="19"/>
      <c r="AY9" s="19"/>
      <c r="AZ9" s="16">
        <v>1</v>
      </c>
      <c r="BA9" s="19"/>
      <c r="BB9" s="19"/>
      <c r="BC9" s="19"/>
      <c r="BD9" s="19"/>
      <c r="BE9" t="s" s="20">
        <v>89</v>
      </c>
    </row>
    <row r="10" ht="15" customHeight="1">
      <c r="A10" s="15">
        <v>6888080418</v>
      </c>
      <c r="B10" s="16">
        <v>167721399</v>
      </c>
      <c r="C10" s="17">
        <v>43246.243287037039</v>
      </c>
      <c r="D10" s="17">
        <v>43246.245694444442</v>
      </c>
      <c r="E10" t="s" s="18">
        <v>90</v>
      </c>
      <c r="F10" s="19"/>
      <c r="G10" s="19"/>
      <c r="H10" s="19"/>
      <c r="I10" s="19"/>
      <c r="J10" s="19"/>
      <c r="K10" s="19"/>
      <c r="L10" s="16">
        <v>3</v>
      </c>
      <c r="M10" s="19"/>
      <c r="N10" s="19"/>
      <c r="O10" s="19"/>
      <c r="P10" s="16">
        <v>1</v>
      </c>
      <c r="Q10" s="19"/>
      <c r="R10" s="19"/>
      <c r="S10" s="19"/>
      <c r="T10" s="19"/>
      <c r="U10" s="19"/>
      <c r="V10" s="16">
        <v>5</v>
      </c>
      <c r="W10" s="19"/>
      <c r="X10" s="19"/>
      <c r="Y10" s="19"/>
      <c r="Z10" s="19"/>
      <c r="AA10" s="19"/>
      <c r="AB10" s="16">
        <v>5</v>
      </c>
      <c r="AC10" s="19"/>
      <c r="AD10" s="19"/>
      <c r="AE10" s="19"/>
      <c r="AF10" s="19"/>
      <c r="AG10" s="16">
        <v>4</v>
      </c>
      <c r="AH10" s="19"/>
      <c r="AI10" s="19"/>
      <c r="AJ10" s="19"/>
      <c r="AK10" s="19"/>
      <c r="AL10" s="16">
        <v>3</v>
      </c>
      <c r="AM10" s="19"/>
      <c r="AN10" s="19"/>
      <c r="AO10" s="19"/>
      <c r="AP10" s="19"/>
      <c r="AQ10" t="s" s="18">
        <v>91</v>
      </c>
      <c r="AR10" s="19"/>
      <c r="AS10" s="19"/>
      <c r="AT10" s="19"/>
      <c r="AU10" s="19"/>
      <c r="AV10" s="19"/>
      <c r="AW10" s="19"/>
      <c r="AX10" s="19"/>
      <c r="AY10" s="16">
        <v>8</v>
      </c>
      <c r="AZ10" s="16">
        <v>1</v>
      </c>
      <c r="BA10" s="19"/>
      <c r="BB10" s="19"/>
      <c r="BC10" s="19"/>
      <c r="BD10" s="19"/>
      <c r="BE10" t="s" s="20">
        <v>92</v>
      </c>
    </row>
    <row r="11" ht="13.55" customHeight="1">
      <c r="A11" s="21">
        <v>6888074078</v>
      </c>
      <c r="B11" s="21">
        <v>167721399</v>
      </c>
      <c r="C11" s="22">
        <v>43246.230196759258</v>
      </c>
      <c r="D11" s="22">
        <v>43246.231053240743</v>
      </c>
      <c r="E11" t="s" s="23">
        <v>93</v>
      </c>
      <c r="F11" s="24"/>
      <c r="G11" s="24"/>
      <c r="H11" s="24"/>
      <c r="I11" s="24"/>
      <c r="J11" s="24"/>
      <c r="K11" s="24"/>
      <c r="L11" s="24"/>
      <c r="M11" s="24"/>
      <c r="N11" s="21">
        <v>5</v>
      </c>
      <c r="O11" s="24"/>
      <c r="P11" s="21">
        <v>1</v>
      </c>
      <c r="Q11" s="24"/>
      <c r="R11" s="24"/>
      <c r="S11" s="24"/>
      <c r="T11" s="24"/>
      <c r="U11" s="24"/>
      <c r="V11" s="21">
        <v>5</v>
      </c>
      <c r="W11" s="24"/>
      <c r="X11" s="21">
        <v>1</v>
      </c>
      <c r="Y11" s="24"/>
      <c r="Z11" s="24"/>
      <c r="AA11" s="24"/>
      <c r="AB11" s="24"/>
      <c r="AC11" s="24"/>
      <c r="AD11" s="24"/>
      <c r="AE11" s="21">
        <v>2</v>
      </c>
      <c r="AF11" s="24"/>
      <c r="AG11" s="24"/>
      <c r="AH11" s="24"/>
      <c r="AI11" s="24"/>
      <c r="AJ11" s="24"/>
      <c r="AK11" s="21">
        <v>2</v>
      </c>
      <c r="AL11" s="24"/>
      <c r="AM11" s="24"/>
      <c r="AN11" s="24"/>
      <c r="AO11" s="24"/>
      <c r="AP11" s="24"/>
      <c r="AQ11" t="s" s="23">
        <v>94</v>
      </c>
      <c r="AR11" s="24"/>
      <c r="AS11" s="24"/>
      <c r="AT11" s="24"/>
      <c r="AU11" s="21">
        <v>4</v>
      </c>
      <c r="AV11" s="24"/>
      <c r="AW11" s="24"/>
      <c r="AX11" s="24"/>
      <c r="AY11" s="24"/>
      <c r="AZ11" s="24"/>
      <c r="BA11" s="24"/>
      <c r="BB11" s="24"/>
      <c r="BC11" s="21">
        <v>4</v>
      </c>
      <c r="BD11" s="24"/>
      <c r="BE11" s="24"/>
    </row>
    <row r="12" ht="13.55" customHeight="1">
      <c r="A12" s="25">
        <v>6888021896</v>
      </c>
      <c r="B12" s="25">
        <v>167721399</v>
      </c>
      <c r="C12" s="26">
        <v>43246.088229166657</v>
      </c>
      <c r="D12" s="26">
        <v>43246.089131944442</v>
      </c>
      <c r="E12" t="s" s="27">
        <v>95</v>
      </c>
      <c r="F12" s="28"/>
      <c r="G12" s="28"/>
      <c r="H12" s="28"/>
      <c r="I12" s="28"/>
      <c r="J12" s="28"/>
      <c r="K12" s="28"/>
      <c r="L12" s="25">
        <v>3</v>
      </c>
      <c r="M12" s="28"/>
      <c r="N12" s="28"/>
      <c r="O12" s="28"/>
      <c r="P12" s="25">
        <v>1</v>
      </c>
      <c r="Q12" s="28"/>
      <c r="R12" s="28"/>
      <c r="S12" s="25">
        <v>2</v>
      </c>
      <c r="T12" s="28"/>
      <c r="U12" s="28"/>
      <c r="V12" s="28"/>
      <c r="W12" s="28"/>
      <c r="X12" s="28"/>
      <c r="Y12" s="25">
        <v>2</v>
      </c>
      <c r="Z12" s="28"/>
      <c r="AA12" s="28"/>
      <c r="AB12" s="28"/>
      <c r="AC12" s="28"/>
      <c r="AD12" s="25">
        <v>1</v>
      </c>
      <c r="AE12" s="28"/>
      <c r="AF12" s="28"/>
      <c r="AG12" s="28"/>
      <c r="AH12" s="28"/>
      <c r="AI12" s="28"/>
      <c r="AJ12" s="28"/>
      <c r="AK12" s="28"/>
      <c r="AL12" s="25">
        <v>3</v>
      </c>
      <c r="AM12" s="28"/>
      <c r="AN12" s="28"/>
      <c r="AO12" s="28"/>
      <c r="AP12" s="28"/>
      <c r="AQ12" t="s" s="27">
        <v>96</v>
      </c>
      <c r="AR12" s="28"/>
      <c r="AS12" s="28"/>
      <c r="AT12" s="28"/>
      <c r="AU12" s="28"/>
      <c r="AV12" s="28"/>
      <c r="AW12" s="28"/>
      <c r="AX12" s="28"/>
      <c r="AY12" s="25">
        <v>8</v>
      </c>
      <c r="AZ12" s="28"/>
      <c r="BA12" s="28"/>
      <c r="BB12" s="28"/>
      <c r="BC12" s="25">
        <v>4</v>
      </c>
      <c r="BD12" s="28"/>
      <c r="BE12" s="28"/>
    </row>
    <row r="13" ht="13.55" customHeight="1">
      <c r="A13" s="25">
        <v>6887986086</v>
      </c>
      <c r="B13" s="25">
        <v>167721399</v>
      </c>
      <c r="C13" s="26">
        <v>43245.970543981479</v>
      </c>
      <c r="D13" s="26">
        <v>43245.9721412037</v>
      </c>
      <c r="E13" t="s" s="27">
        <v>97</v>
      </c>
      <c r="F13" s="28"/>
      <c r="G13" s="28"/>
      <c r="H13" s="28"/>
      <c r="I13" s="28"/>
      <c r="J13" s="28"/>
      <c r="K13" s="28"/>
      <c r="L13" s="25">
        <v>3</v>
      </c>
      <c r="M13" s="28"/>
      <c r="N13" s="28"/>
      <c r="O13" s="28"/>
      <c r="P13" s="25">
        <v>1</v>
      </c>
      <c r="Q13" s="28"/>
      <c r="R13" s="28"/>
      <c r="S13" s="28"/>
      <c r="T13" s="28"/>
      <c r="U13" s="28"/>
      <c r="V13" s="28"/>
      <c r="W13" s="25">
        <v>6</v>
      </c>
      <c r="X13" s="28"/>
      <c r="Y13" s="28"/>
      <c r="Z13" s="28"/>
      <c r="AA13" s="28"/>
      <c r="AB13" s="28"/>
      <c r="AC13" s="28"/>
      <c r="AD13" s="28"/>
      <c r="AE13" s="28"/>
      <c r="AF13" s="28"/>
      <c r="AG13" s="25">
        <v>4</v>
      </c>
      <c r="AH13" s="28"/>
      <c r="AI13" s="28"/>
      <c r="AJ13" s="25">
        <v>1</v>
      </c>
      <c r="AK13" s="28"/>
      <c r="AL13" s="28"/>
      <c r="AM13" s="28"/>
      <c r="AN13" s="28"/>
      <c r="AO13" s="25">
        <v>6</v>
      </c>
      <c r="AP13" s="28"/>
      <c r="AQ13" t="s" s="27">
        <v>98</v>
      </c>
      <c r="AR13" s="28"/>
      <c r="AS13" s="28"/>
      <c r="AT13" s="28"/>
      <c r="AU13" s="28"/>
      <c r="AV13" s="28"/>
      <c r="AW13" s="28"/>
      <c r="AX13" s="25">
        <v>7</v>
      </c>
      <c r="AY13" s="28"/>
      <c r="AZ13" s="28"/>
      <c r="BA13" s="28"/>
      <c r="BB13" s="28"/>
      <c r="BC13" s="25">
        <v>4</v>
      </c>
      <c r="BD13" s="28"/>
      <c r="BE13" s="28"/>
    </row>
    <row r="14" ht="13.55" customHeight="1">
      <c r="A14" s="25">
        <v>6887884687</v>
      </c>
      <c r="B14" s="25">
        <v>167721399</v>
      </c>
      <c r="C14" s="26">
        <v>43245.682974537027</v>
      </c>
      <c r="D14" s="26">
        <v>43245.686365740738</v>
      </c>
      <c r="E14" t="s" s="27">
        <v>99</v>
      </c>
      <c r="F14" s="28"/>
      <c r="G14" s="28"/>
      <c r="H14" s="28"/>
      <c r="I14" s="28"/>
      <c r="J14" s="28"/>
      <c r="K14" s="25">
        <v>2</v>
      </c>
      <c r="L14" s="28"/>
      <c r="M14" s="28"/>
      <c r="N14" s="28"/>
      <c r="O14" s="28"/>
      <c r="P14" s="25">
        <v>1</v>
      </c>
      <c r="Q14" s="28"/>
      <c r="R14" s="28"/>
      <c r="S14" s="28"/>
      <c r="T14" s="25">
        <v>3</v>
      </c>
      <c r="U14" s="28"/>
      <c r="V14" s="28"/>
      <c r="W14" s="28"/>
      <c r="X14" s="28"/>
      <c r="Y14" s="25">
        <v>2</v>
      </c>
      <c r="Z14" s="28"/>
      <c r="AA14" s="28"/>
      <c r="AB14" s="28"/>
      <c r="AC14" s="28"/>
      <c r="AD14" s="25">
        <v>1</v>
      </c>
      <c r="AE14" s="28"/>
      <c r="AF14" s="28"/>
      <c r="AG14" s="28"/>
      <c r="AH14" s="28"/>
      <c r="AI14" s="28"/>
      <c r="AJ14" s="28"/>
      <c r="AK14" s="28"/>
      <c r="AL14" s="28"/>
      <c r="AM14" s="28"/>
      <c r="AN14" s="28"/>
      <c r="AO14" s="25">
        <v>6</v>
      </c>
      <c r="AP14" s="28"/>
      <c r="AQ14" t="s" s="27">
        <v>100</v>
      </c>
      <c r="AR14" s="28"/>
      <c r="AS14" s="28"/>
      <c r="AT14" s="28"/>
      <c r="AU14" s="25">
        <v>4</v>
      </c>
      <c r="AV14" s="28"/>
      <c r="AW14" s="28"/>
      <c r="AX14" s="28"/>
      <c r="AY14" s="28"/>
      <c r="AZ14" s="28"/>
      <c r="BA14" s="28"/>
      <c r="BB14" s="28"/>
      <c r="BC14" s="25">
        <v>4</v>
      </c>
      <c r="BD14" s="28"/>
      <c r="BE14" s="28"/>
    </row>
    <row r="15" ht="13.55" customHeight="1">
      <c r="A15" s="29">
        <v>6887857435</v>
      </c>
      <c r="B15" s="29">
        <v>167721399</v>
      </c>
      <c r="C15" s="30">
        <v>43245.637662037043</v>
      </c>
      <c r="D15" s="30">
        <v>43245.638391203713</v>
      </c>
      <c r="E15" t="s" s="31">
        <v>101</v>
      </c>
      <c r="F15" s="32"/>
      <c r="G15" s="32"/>
      <c r="H15" s="32"/>
      <c r="I15" s="32"/>
      <c r="J15" s="32"/>
      <c r="K15" s="32"/>
      <c r="L15" s="32"/>
      <c r="M15" s="32"/>
      <c r="N15" s="29">
        <v>5</v>
      </c>
      <c r="O15" s="32"/>
      <c r="P15" s="29">
        <v>1</v>
      </c>
      <c r="Q15" s="32"/>
      <c r="R15" s="32"/>
      <c r="S15" s="32"/>
      <c r="T15" s="32"/>
      <c r="U15" s="32"/>
      <c r="V15" s="32"/>
      <c r="W15" s="29">
        <v>6</v>
      </c>
      <c r="X15" s="32"/>
      <c r="Y15" s="29">
        <v>2</v>
      </c>
      <c r="Z15" s="32"/>
      <c r="AA15" s="32"/>
      <c r="AB15" s="32"/>
      <c r="AC15" s="32"/>
      <c r="AD15" s="29">
        <v>1</v>
      </c>
      <c r="AE15" s="32"/>
      <c r="AF15" s="32"/>
      <c r="AG15" s="32"/>
      <c r="AH15" s="32"/>
      <c r="AI15" s="32"/>
      <c r="AJ15" s="29">
        <v>1</v>
      </c>
      <c r="AK15" s="32"/>
      <c r="AL15" s="32"/>
      <c r="AM15" s="32"/>
      <c r="AN15" s="32"/>
      <c r="AO15" s="32"/>
      <c r="AP15" s="32"/>
      <c r="AQ15" t="s" s="31">
        <v>102</v>
      </c>
      <c r="AR15" s="32"/>
      <c r="AS15" s="32"/>
      <c r="AT15" s="32"/>
      <c r="AU15" s="32"/>
      <c r="AV15" s="32"/>
      <c r="AW15" s="32"/>
      <c r="AX15" s="32"/>
      <c r="AY15" s="29">
        <v>8</v>
      </c>
      <c r="AZ15" s="32"/>
      <c r="BA15" s="32"/>
      <c r="BB15" s="32"/>
      <c r="BC15" s="29">
        <v>4</v>
      </c>
      <c r="BD15" s="32"/>
      <c r="BE15" s="32"/>
    </row>
    <row r="16" ht="15" customHeight="1">
      <c r="A16" s="15">
        <v>6887853742</v>
      </c>
      <c r="B16" s="16">
        <v>167721399</v>
      </c>
      <c r="C16" s="17">
        <v>43245.630289351851</v>
      </c>
      <c r="D16" s="17">
        <v>43245.632430555554</v>
      </c>
      <c r="E16" t="s" s="18">
        <v>103</v>
      </c>
      <c r="F16" s="19"/>
      <c r="G16" s="19"/>
      <c r="H16" s="19"/>
      <c r="I16" s="19"/>
      <c r="J16" s="19"/>
      <c r="K16" s="16">
        <v>2</v>
      </c>
      <c r="L16" s="19"/>
      <c r="M16" s="19"/>
      <c r="N16" s="19"/>
      <c r="O16" s="19"/>
      <c r="P16" s="19"/>
      <c r="Q16" s="16">
        <v>2</v>
      </c>
      <c r="R16" s="19"/>
      <c r="S16" s="16">
        <v>2</v>
      </c>
      <c r="T16" s="19"/>
      <c r="U16" s="19"/>
      <c r="V16" s="19"/>
      <c r="W16" s="19"/>
      <c r="X16" s="19"/>
      <c r="Y16" s="16">
        <v>2</v>
      </c>
      <c r="Z16" s="19"/>
      <c r="AA16" s="19"/>
      <c r="AB16" s="19"/>
      <c r="AC16" s="19"/>
      <c r="AD16" s="16">
        <v>1</v>
      </c>
      <c r="AE16" s="19"/>
      <c r="AF16" s="19"/>
      <c r="AG16" s="19"/>
      <c r="AH16" s="19"/>
      <c r="AI16" s="19"/>
      <c r="AJ16" s="16">
        <v>1</v>
      </c>
      <c r="AK16" s="19"/>
      <c r="AL16" s="19"/>
      <c r="AM16" s="19"/>
      <c r="AN16" s="19"/>
      <c r="AO16" s="19"/>
      <c r="AP16" s="16">
        <v>7</v>
      </c>
      <c r="AQ16" t="s" s="18">
        <v>104</v>
      </c>
      <c r="AR16" s="19"/>
      <c r="AS16" s="19"/>
      <c r="AT16" s="19"/>
      <c r="AU16" s="16">
        <v>4</v>
      </c>
      <c r="AV16" s="19"/>
      <c r="AW16" s="19"/>
      <c r="AX16" s="19"/>
      <c r="AY16" s="19"/>
      <c r="AZ16" s="19"/>
      <c r="BA16" s="16">
        <v>2</v>
      </c>
      <c r="BB16" s="19"/>
      <c r="BC16" s="19"/>
      <c r="BD16" s="19"/>
      <c r="BE16" t="s" s="20">
        <v>105</v>
      </c>
    </row>
    <row r="17" ht="15" customHeight="1">
      <c r="A17" s="15">
        <v>6887845164</v>
      </c>
      <c r="B17" s="16">
        <v>167721399</v>
      </c>
      <c r="C17" s="17">
        <v>43245.617592592593</v>
      </c>
      <c r="D17" s="17">
        <v>43245.618819444448</v>
      </c>
      <c r="E17" t="s" s="18">
        <v>106</v>
      </c>
      <c r="F17" s="19"/>
      <c r="G17" s="19"/>
      <c r="H17" s="19"/>
      <c r="I17" s="19"/>
      <c r="J17" s="19"/>
      <c r="K17" s="19"/>
      <c r="L17" s="19"/>
      <c r="M17" s="16">
        <v>4</v>
      </c>
      <c r="N17" s="19"/>
      <c r="O17" s="19"/>
      <c r="P17" s="19"/>
      <c r="Q17" s="16">
        <v>2</v>
      </c>
      <c r="R17" s="19"/>
      <c r="S17" s="19"/>
      <c r="T17" s="19"/>
      <c r="U17" s="19"/>
      <c r="V17" s="16">
        <v>5</v>
      </c>
      <c r="W17" s="19"/>
      <c r="X17" s="19"/>
      <c r="Y17" s="16">
        <v>2</v>
      </c>
      <c r="Z17" s="19"/>
      <c r="AA17" s="19"/>
      <c r="AB17" s="19"/>
      <c r="AC17" s="19"/>
      <c r="AD17" s="16">
        <v>1</v>
      </c>
      <c r="AE17" s="19"/>
      <c r="AF17" s="19"/>
      <c r="AG17" s="19"/>
      <c r="AH17" s="19"/>
      <c r="AI17" s="19"/>
      <c r="AJ17" s="19"/>
      <c r="AK17" s="19"/>
      <c r="AL17" s="19"/>
      <c r="AM17" s="19"/>
      <c r="AN17" s="19"/>
      <c r="AO17" s="16">
        <v>6</v>
      </c>
      <c r="AP17" s="19"/>
      <c r="AQ17" t="s" s="18">
        <v>107</v>
      </c>
      <c r="AR17" s="19"/>
      <c r="AS17" s="19"/>
      <c r="AT17" s="19"/>
      <c r="AU17" s="16">
        <v>4</v>
      </c>
      <c r="AV17" s="19"/>
      <c r="AW17" s="19"/>
      <c r="AX17" s="19"/>
      <c r="AY17" s="19"/>
      <c r="AZ17" s="16">
        <v>1</v>
      </c>
      <c r="BA17" s="19"/>
      <c r="BB17" s="19"/>
      <c r="BC17" s="19"/>
      <c r="BD17" s="19"/>
      <c r="BE17" t="s" s="20">
        <v>108</v>
      </c>
    </row>
    <row r="18" ht="15" customHeight="1">
      <c r="A18" s="15">
        <v>6887827407</v>
      </c>
      <c r="B18" s="16">
        <v>167721399</v>
      </c>
      <c r="C18" s="17">
        <v>43245.5883912037</v>
      </c>
      <c r="D18" s="17">
        <v>43245.593784722223</v>
      </c>
      <c r="E18" t="s" s="18">
        <v>109</v>
      </c>
      <c r="F18" s="19"/>
      <c r="G18" s="19"/>
      <c r="H18" s="19"/>
      <c r="I18" s="19"/>
      <c r="J18" s="19"/>
      <c r="K18" s="16">
        <v>2</v>
      </c>
      <c r="L18" s="19"/>
      <c r="M18" s="19"/>
      <c r="N18" s="19"/>
      <c r="O18" s="19"/>
      <c r="P18" s="16">
        <v>1</v>
      </c>
      <c r="Q18" s="19"/>
      <c r="R18" s="19"/>
      <c r="S18" s="19"/>
      <c r="T18" s="19"/>
      <c r="U18" s="19"/>
      <c r="V18" s="16">
        <v>5</v>
      </c>
      <c r="W18" s="19"/>
      <c r="X18" s="19"/>
      <c r="Y18" s="19"/>
      <c r="Z18" s="19"/>
      <c r="AA18" s="16">
        <v>4</v>
      </c>
      <c r="AB18" s="19"/>
      <c r="AC18" s="19"/>
      <c r="AD18" s="19"/>
      <c r="AE18" s="19"/>
      <c r="AF18" s="19"/>
      <c r="AG18" s="16">
        <v>4</v>
      </c>
      <c r="AH18" s="19"/>
      <c r="AI18" s="19"/>
      <c r="AJ18" s="16">
        <v>1</v>
      </c>
      <c r="AK18" s="19"/>
      <c r="AL18" s="19"/>
      <c r="AM18" s="19"/>
      <c r="AN18" s="19"/>
      <c r="AO18" s="19"/>
      <c r="AP18" s="19"/>
      <c r="AQ18" t="s" s="18">
        <v>110</v>
      </c>
      <c r="AR18" s="19"/>
      <c r="AS18" s="19"/>
      <c r="AT18" s="19"/>
      <c r="AU18" s="19"/>
      <c r="AV18" s="19"/>
      <c r="AW18" s="19"/>
      <c r="AX18" s="19"/>
      <c r="AY18" s="16">
        <v>8</v>
      </c>
      <c r="AZ18" s="16">
        <v>1</v>
      </c>
      <c r="BA18" s="19"/>
      <c r="BB18" s="19"/>
      <c r="BC18" s="19"/>
      <c r="BD18" s="19"/>
      <c r="BE18" t="s" s="20">
        <v>111</v>
      </c>
    </row>
    <row r="19" ht="15" customHeight="1">
      <c r="A19" s="15">
        <v>6887818436</v>
      </c>
      <c r="B19" s="16">
        <v>167721399</v>
      </c>
      <c r="C19" s="17">
        <v>43245.580254629633</v>
      </c>
      <c r="D19" s="17">
        <v>43245.581770833327</v>
      </c>
      <c r="E19" t="s" s="18">
        <v>112</v>
      </c>
      <c r="F19" s="19"/>
      <c r="G19" s="19"/>
      <c r="H19" s="19"/>
      <c r="I19" s="19"/>
      <c r="J19" s="19"/>
      <c r="K19" s="19"/>
      <c r="L19" s="16">
        <v>3</v>
      </c>
      <c r="M19" s="19"/>
      <c r="N19" s="19"/>
      <c r="O19" s="19"/>
      <c r="P19" s="19"/>
      <c r="Q19" s="16">
        <v>2</v>
      </c>
      <c r="R19" s="19"/>
      <c r="S19" s="19"/>
      <c r="T19" s="19"/>
      <c r="U19" s="16">
        <v>4</v>
      </c>
      <c r="V19" s="19"/>
      <c r="W19" s="19"/>
      <c r="X19" s="19"/>
      <c r="Y19" s="19"/>
      <c r="Z19" s="16">
        <v>3</v>
      </c>
      <c r="AA19" s="19"/>
      <c r="AB19" s="19"/>
      <c r="AC19" s="19"/>
      <c r="AD19" s="16">
        <v>1</v>
      </c>
      <c r="AE19" s="19"/>
      <c r="AF19" s="19"/>
      <c r="AG19" s="19"/>
      <c r="AH19" s="19"/>
      <c r="AI19" s="19"/>
      <c r="AJ19" s="19"/>
      <c r="AK19" s="16">
        <v>2</v>
      </c>
      <c r="AL19" s="19"/>
      <c r="AM19" s="19"/>
      <c r="AN19" s="19"/>
      <c r="AO19" s="19"/>
      <c r="AP19" s="19"/>
      <c r="AQ19" t="s" s="18">
        <v>113</v>
      </c>
      <c r="AR19" s="19"/>
      <c r="AS19" s="19"/>
      <c r="AT19" s="16">
        <v>3</v>
      </c>
      <c r="AU19" s="19"/>
      <c r="AV19" s="19"/>
      <c r="AW19" s="19"/>
      <c r="AX19" s="19"/>
      <c r="AY19" s="19"/>
      <c r="AZ19" s="16">
        <v>1</v>
      </c>
      <c r="BA19" s="19"/>
      <c r="BB19" s="19"/>
      <c r="BC19" s="19"/>
      <c r="BD19" s="19"/>
      <c r="BE19" t="s" s="20">
        <v>114</v>
      </c>
    </row>
    <row r="20" ht="13.55" customHeight="1">
      <c r="A20" s="21">
        <v>6887175780</v>
      </c>
      <c r="B20" s="21">
        <v>167721399</v>
      </c>
      <c r="C20" s="22">
        <v>43244.777569444443</v>
      </c>
      <c r="D20" s="22">
        <v>43244.778101851851</v>
      </c>
      <c r="E20" t="s" s="23">
        <v>115</v>
      </c>
      <c r="F20" s="24"/>
      <c r="G20" s="24"/>
      <c r="H20" s="24"/>
      <c r="I20" s="24"/>
      <c r="J20" s="24"/>
      <c r="K20" s="21">
        <v>2</v>
      </c>
      <c r="L20" s="24"/>
      <c r="M20" s="24"/>
      <c r="N20" s="24"/>
      <c r="O20" s="24"/>
      <c r="P20" s="21">
        <v>1</v>
      </c>
      <c r="Q20" s="24"/>
      <c r="R20" s="21">
        <v>1</v>
      </c>
      <c r="S20" s="24"/>
      <c r="T20" s="24"/>
      <c r="U20" s="24"/>
      <c r="V20" s="24"/>
      <c r="W20" s="24"/>
      <c r="X20" s="21">
        <v>1</v>
      </c>
      <c r="Y20" s="24"/>
      <c r="Z20" s="24"/>
      <c r="AA20" s="24"/>
      <c r="AB20" s="24"/>
      <c r="AC20" s="24"/>
      <c r="AD20" s="21">
        <v>1</v>
      </c>
      <c r="AE20" s="24"/>
      <c r="AF20" s="24"/>
      <c r="AG20" s="24"/>
      <c r="AH20" s="24"/>
      <c r="AI20" s="24"/>
      <c r="AJ20" s="24"/>
      <c r="AK20" s="24"/>
      <c r="AL20" s="24"/>
      <c r="AM20" s="24"/>
      <c r="AN20" s="24"/>
      <c r="AO20" s="21">
        <v>6</v>
      </c>
      <c r="AP20" s="24"/>
      <c r="AQ20" t="s" s="23">
        <v>116</v>
      </c>
      <c r="AR20" s="21">
        <v>1</v>
      </c>
      <c r="AS20" s="24"/>
      <c r="AT20" s="24"/>
      <c r="AU20" s="24"/>
      <c r="AV20" s="24"/>
      <c r="AW20" s="24"/>
      <c r="AX20" s="24"/>
      <c r="AY20" s="24"/>
      <c r="AZ20" s="24"/>
      <c r="BA20" s="24"/>
      <c r="BB20" s="21">
        <v>3</v>
      </c>
      <c r="BC20" s="24"/>
      <c r="BD20" s="24"/>
      <c r="BE20" s="24"/>
    </row>
    <row r="21" ht="13.55" customHeight="1">
      <c r="A21" s="25">
        <v>6868888594</v>
      </c>
      <c r="B21" s="25">
        <v>167721399</v>
      </c>
      <c r="C21" s="26">
        <v>43226.640370370369</v>
      </c>
      <c r="D21" s="26">
        <v>43226.641655092593</v>
      </c>
      <c r="E21" t="s" s="27">
        <v>117</v>
      </c>
      <c r="F21" s="28"/>
      <c r="G21" s="28"/>
      <c r="H21" s="28"/>
      <c r="I21" s="28"/>
      <c r="J21" s="28"/>
      <c r="K21" s="28"/>
      <c r="L21" s="25">
        <v>3</v>
      </c>
      <c r="M21" s="28"/>
      <c r="N21" s="28"/>
      <c r="O21" s="28"/>
      <c r="P21" s="25">
        <v>1</v>
      </c>
      <c r="Q21" s="28"/>
      <c r="R21" s="28"/>
      <c r="S21" s="28"/>
      <c r="T21" s="25">
        <v>3</v>
      </c>
      <c r="U21" s="28"/>
      <c r="V21" s="28"/>
      <c r="W21" s="28"/>
      <c r="X21" s="28"/>
      <c r="Y21" s="25">
        <v>2</v>
      </c>
      <c r="Z21" s="28"/>
      <c r="AA21" s="28"/>
      <c r="AB21" s="28"/>
      <c r="AC21" s="28"/>
      <c r="AD21" s="28"/>
      <c r="AE21" s="28"/>
      <c r="AF21" s="25">
        <v>3</v>
      </c>
      <c r="AG21" s="28"/>
      <c r="AH21" s="28"/>
      <c r="AI21" s="28"/>
      <c r="AJ21" s="25">
        <v>1</v>
      </c>
      <c r="AK21" s="25">
        <v>2</v>
      </c>
      <c r="AL21" s="25">
        <v>3</v>
      </c>
      <c r="AM21" s="28"/>
      <c r="AN21" s="28"/>
      <c r="AO21" s="25">
        <v>6</v>
      </c>
      <c r="AP21" s="28"/>
      <c r="AQ21" t="s" s="27">
        <v>118</v>
      </c>
      <c r="AR21" s="28"/>
      <c r="AS21" s="25">
        <v>2</v>
      </c>
      <c r="AT21" s="28"/>
      <c r="AU21" s="28"/>
      <c r="AV21" s="28"/>
      <c r="AW21" s="28"/>
      <c r="AX21" s="28"/>
      <c r="AY21" s="28"/>
      <c r="AZ21" s="28"/>
      <c r="BA21" s="28"/>
      <c r="BB21" s="25">
        <v>3</v>
      </c>
      <c r="BC21" s="28"/>
      <c r="BD21" s="28"/>
      <c r="BE21" s="28"/>
    </row>
    <row r="22" ht="13.55" customHeight="1">
      <c r="A22" s="25">
        <v>6757368545</v>
      </c>
      <c r="B22" s="25">
        <v>167721399</v>
      </c>
      <c r="C22" s="26">
        <v>43173.599270833343</v>
      </c>
      <c r="D22" s="26">
        <v>43173.599756944437</v>
      </c>
      <c r="E22" t="s" s="27">
        <v>119</v>
      </c>
      <c r="F22" s="28"/>
      <c r="G22" s="28"/>
      <c r="H22" s="28"/>
      <c r="I22" s="28"/>
      <c r="J22" s="25">
        <v>1</v>
      </c>
      <c r="K22" s="28"/>
      <c r="L22" s="28"/>
      <c r="M22" s="28"/>
      <c r="N22" s="28"/>
      <c r="O22" s="28"/>
      <c r="P22" s="25">
        <v>1</v>
      </c>
      <c r="Q22" s="28"/>
      <c r="R22" s="28"/>
      <c r="S22" s="25">
        <v>2</v>
      </c>
      <c r="T22" s="28"/>
      <c r="U22" s="28"/>
      <c r="V22" s="28"/>
      <c r="W22" s="28"/>
      <c r="X22" s="28"/>
      <c r="Y22" s="28"/>
      <c r="Z22" s="25">
        <v>3</v>
      </c>
      <c r="AA22" s="28"/>
      <c r="AB22" s="28"/>
      <c r="AC22" s="28"/>
      <c r="AD22" s="28"/>
      <c r="AE22" s="28"/>
      <c r="AF22" s="25">
        <v>3</v>
      </c>
      <c r="AG22" s="28"/>
      <c r="AH22" s="28"/>
      <c r="AI22" s="28"/>
      <c r="AJ22" s="25">
        <v>1</v>
      </c>
      <c r="AK22" s="25">
        <v>2</v>
      </c>
      <c r="AL22" s="25">
        <v>3</v>
      </c>
      <c r="AM22" s="25">
        <v>4</v>
      </c>
      <c r="AN22" s="25">
        <v>5</v>
      </c>
      <c r="AO22" s="25">
        <v>6</v>
      </c>
      <c r="AP22" s="25">
        <v>7</v>
      </c>
      <c r="AQ22" s="28"/>
      <c r="AR22" s="28"/>
      <c r="AS22" s="28"/>
      <c r="AT22" s="28"/>
      <c r="AU22" s="28"/>
      <c r="AV22" s="28"/>
      <c r="AW22" s="28"/>
      <c r="AX22" s="28"/>
      <c r="AY22" s="28"/>
      <c r="AZ22" s="28"/>
      <c r="BA22" s="28"/>
      <c r="BB22" s="28"/>
      <c r="BC22" s="28"/>
      <c r="BD22" s="28"/>
      <c r="BE22" s="28"/>
    </row>
    <row r="23" ht="13.55" customHeight="1">
      <c r="A23" s="25">
        <v>6660405736</v>
      </c>
      <c r="B23" s="25">
        <v>167721399</v>
      </c>
      <c r="C23" s="26">
        <v>43129.574768518520</v>
      </c>
      <c r="D23" s="26">
        <v>43129.575648148151</v>
      </c>
      <c r="E23" t="s" s="27">
        <v>120</v>
      </c>
      <c r="F23" s="28"/>
      <c r="G23" s="28"/>
      <c r="H23" s="28"/>
      <c r="I23" s="28"/>
      <c r="J23" s="28"/>
      <c r="K23" s="25">
        <v>2</v>
      </c>
      <c r="L23" s="28"/>
      <c r="M23" s="28"/>
      <c r="N23" s="28"/>
      <c r="O23" s="28"/>
      <c r="P23" s="25">
        <v>1</v>
      </c>
      <c r="Q23" s="28"/>
      <c r="R23" s="25">
        <v>1</v>
      </c>
      <c r="S23" s="28"/>
      <c r="T23" s="28"/>
      <c r="U23" s="28"/>
      <c r="V23" s="28"/>
      <c r="W23" s="28"/>
      <c r="X23" s="28"/>
      <c r="Y23" s="28"/>
      <c r="Z23" s="28"/>
      <c r="AA23" s="25">
        <v>4</v>
      </c>
      <c r="AB23" s="28"/>
      <c r="AC23" s="28"/>
      <c r="AD23" s="28"/>
      <c r="AE23" s="28"/>
      <c r="AF23" s="25">
        <v>3</v>
      </c>
      <c r="AG23" s="28"/>
      <c r="AH23" s="28"/>
      <c r="AI23" s="28"/>
      <c r="AJ23" s="28"/>
      <c r="AK23" s="28"/>
      <c r="AL23" s="28"/>
      <c r="AM23" s="28"/>
      <c r="AN23" s="25">
        <v>5</v>
      </c>
      <c r="AO23" s="28"/>
      <c r="AP23" s="28"/>
      <c r="AQ23" t="s" s="27">
        <v>121</v>
      </c>
      <c r="AR23" s="25">
        <v>1</v>
      </c>
      <c r="AS23" s="28"/>
      <c r="AT23" s="28"/>
      <c r="AU23" s="28"/>
      <c r="AV23" s="28"/>
      <c r="AW23" s="28"/>
      <c r="AX23" s="28"/>
      <c r="AY23" s="28"/>
      <c r="AZ23" s="28"/>
      <c r="BA23" s="28"/>
      <c r="BB23" s="25">
        <v>3</v>
      </c>
      <c r="BC23" s="28"/>
      <c r="BD23" s="28"/>
      <c r="BE23" s="28"/>
    </row>
    <row r="24" ht="13.55" customHeight="1">
      <c r="A24" s="29">
        <v>6627770522</v>
      </c>
      <c r="B24" s="29">
        <v>167721399</v>
      </c>
      <c r="C24" s="30">
        <v>43112.626701388886</v>
      </c>
      <c r="D24" s="30">
        <v>43112.627384259264</v>
      </c>
      <c r="E24" t="s" s="31">
        <v>122</v>
      </c>
      <c r="F24" s="32"/>
      <c r="G24" s="32"/>
      <c r="H24" s="32"/>
      <c r="I24" s="32"/>
      <c r="J24" s="32"/>
      <c r="K24" s="32"/>
      <c r="L24" s="32"/>
      <c r="M24" s="29">
        <v>4</v>
      </c>
      <c r="N24" s="32"/>
      <c r="O24" s="32"/>
      <c r="P24" s="29">
        <v>1</v>
      </c>
      <c r="Q24" s="32"/>
      <c r="R24" s="32"/>
      <c r="S24" s="29">
        <v>2</v>
      </c>
      <c r="T24" s="32"/>
      <c r="U24" s="32"/>
      <c r="V24" s="32"/>
      <c r="W24" s="32"/>
      <c r="X24" s="32"/>
      <c r="Y24" s="29">
        <v>2</v>
      </c>
      <c r="Z24" s="32"/>
      <c r="AA24" s="32"/>
      <c r="AB24" s="32"/>
      <c r="AC24" s="32"/>
      <c r="AD24" s="32"/>
      <c r="AE24" s="29">
        <v>2</v>
      </c>
      <c r="AF24" s="32"/>
      <c r="AG24" s="32"/>
      <c r="AH24" s="32"/>
      <c r="AI24" s="32"/>
      <c r="AJ24" s="32"/>
      <c r="AK24" s="29">
        <v>2</v>
      </c>
      <c r="AL24" s="32"/>
      <c r="AM24" s="32"/>
      <c r="AN24" s="32"/>
      <c r="AO24" s="32"/>
      <c r="AP24" s="32"/>
      <c r="AQ24" t="s" s="31">
        <v>123</v>
      </c>
      <c r="AR24" s="32"/>
      <c r="AS24" s="32"/>
      <c r="AT24" s="32"/>
      <c r="AU24" s="32"/>
      <c r="AV24" s="32"/>
      <c r="AW24" s="32"/>
      <c r="AX24" s="32"/>
      <c r="AY24" s="32"/>
      <c r="AZ24" s="32"/>
      <c r="BA24" s="32"/>
      <c r="BB24" s="32"/>
      <c r="BC24" s="32"/>
      <c r="BD24" s="32"/>
      <c r="BE24" t="s" s="31">
        <v>124</v>
      </c>
    </row>
    <row r="25" ht="15" customHeight="1">
      <c r="A25" s="15">
        <v>6607317036</v>
      </c>
      <c r="B25" s="16">
        <v>167721399</v>
      </c>
      <c r="C25" s="17">
        <v>43100.336331018523</v>
      </c>
      <c r="D25" s="17">
        <v>43100.3378125</v>
      </c>
      <c r="E25" t="s" s="18">
        <v>125</v>
      </c>
      <c r="F25" s="19"/>
      <c r="G25" s="19"/>
      <c r="H25" s="19"/>
      <c r="I25" s="19"/>
      <c r="J25" s="19"/>
      <c r="K25" s="16">
        <v>2</v>
      </c>
      <c r="L25" s="19"/>
      <c r="M25" s="19"/>
      <c r="N25" s="19"/>
      <c r="O25" s="19"/>
      <c r="P25" s="16">
        <v>1</v>
      </c>
      <c r="Q25" s="19"/>
      <c r="R25" s="19"/>
      <c r="S25" s="19"/>
      <c r="T25" s="19"/>
      <c r="U25" s="16">
        <v>4</v>
      </c>
      <c r="V25" s="19"/>
      <c r="W25" s="19"/>
      <c r="X25" s="19"/>
      <c r="Y25" s="16">
        <v>2</v>
      </c>
      <c r="Z25" s="19"/>
      <c r="AA25" s="19"/>
      <c r="AB25" s="19"/>
      <c r="AC25" s="19"/>
      <c r="AD25" s="19"/>
      <c r="AE25" s="19"/>
      <c r="AF25" s="19"/>
      <c r="AG25" s="16">
        <v>4</v>
      </c>
      <c r="AH25" s="19"/>
      <c r="AI25" s="19"/>
      <c r="AJ25" s="16">
        <v>1</v>
      </c>
      <c r="AK25" s="19"/>
      <c r="AL25" s="19"/>
      <c r="AM25" s="19"/>
      <c r="AN25" s="19"/>
      <c r="AO25" s="16">
        <v>6</v>
      </c>
      <c r="AP25" s="19"/>
      <c r="AQ25" t="s" s="18">
        <v>126</v>
      </c>
      <c r="AR25" s="19"/>
      <c r="AS25" s="19"/>
      <c r="AT25" s="19"/>
      <c r="AU25" s="19"/>
      <c r="AV25" s="16">
        <v>5</v>
      </c>
      <c r="AW25" s="19"/>
      <c r="AX25" s="19"/>
      <c r="AY25" s="19"/>
      <c r="AZ25" s="16">
        <v>1</v>
      </c>
      <c r="BA25" s="19"/>
      <c r="BB25" s="19"/>
      <c r="BC25" s="19"/>
      <c r="BD25" s="19"/>
      <c r="BE25" t="s" s="20">
        <v>127</v>
      </c>
    </row>
    <row r="26" ht="13.55" customHeight="1">
      <c r="A26" s="21">
        <v>6606399342</v>
      </c>
      <c r="B26" s="21">
        <v>167721399</v>
      </c>
      <c r="C26" s="22">
        <v>43098.899398148147</v>
      </c>
      <c r="D26" s="22">
        <v>43098.9002662037</v>
      </c>
      <c r="E26" t="s" s="23">
        <v>128</v>
      </c>
      <c r="F26" s="24"/>
      <c r="G26" s="24"/>
      <c r="H26" s="24"/>
      <c r="I26" s="24"/>
      <c r="J26" s="24"/>
      <c r="K26" s="24"/>
      <c r="L26" s="21">
        <v>3</v>
      </c>
      <c r="M26" s="24"/>
      <c r="N26" s="24"/>
      <c r="O26" s="24"/>
      <c r="P26" s="21">
        <v>1</v>
      </c>
      <c r="Q26" s="24"/>
      <c r="R26" s="24"/>
      <c r="S26" s="21">
        <v>2</v>
      </c>
      <c r="T26" s="24"/>
      <c r="U26" s="24"/>
      <c r="V26" s="24"/>
      <c r="W26" s="24"/>
      <c r="X26" s="24"/>
      <c r="Y26" s="24"/>
      <c r="Z26" s="21">
        <v>3</v>
      </c>
      <c r="AA26" s="24"/>
      <c r="AB26" s="24"/>
      <c r="AC26" s="24"/>
      <c r="AD26" s="24"/>
      <c r="AE26" s="21">
        <v>2</v>
      </c>
      <c r="AF26" s="24"/>
      <c r="AG26" s="24"/>
      <c r="AH26" s="24"/>
      <c r="AI26" s="24"/>
      <c r="AJ26" s="21">
        <v>1</v>
      </c>
      <c r="AK26" s="21">
        <v>2</v>
      </c>
      <c r="AL26" s="24"/>
      <c r="AM26" s="24"/>
      <c r="AN26" s="24"/>
      <c r="AO26" s="21">
        <v>6</v>
      </c>
      <c r="AP26" s="24"/>
      <c r="AQ26" t="s" s="23">
        <v>129</v>
      </c>
      <c r="AR26" s="24"/>
      <c r="AS26" s="24"/>
      <c r="AT26" s="24"/>
      <c r="AU26" s="24"/>
      <c r="AV26" s="21">
        <v>5</v>
      </c>
      <c r="AW26" s="24"/>
      <c r="AX26" s="24"/>
      <c r="AY26" s="24"/>
      <c r="AZ26" s="24"/>
      <c r="BA26" s="24"/>
      <c r="BB26" s="24"/>
      <c r="BC26" s="21">
        <v>4</v>
      </c>
      <c r="BD26" s="24"/>
      <c r="BE26" s="24"/>
    </row>
    <row r="27" ht="13.55" customHeight="1">
      <c r="A27" s="25">
        <v>6605870200</v>
      </c>
      <c r="B27" s="25">
        <v>167721399</v>
      </c>
      <c r="C27" s="26">
        <v>43098.369768518518</v>
      </c>
      <c r="D27" s="26">
        <v>43098.371145833327</v>
      </c>
      <c r="E27" t="s" s="27">
        <v>130</v>
      </c>
      <c r="F27" s="28"/>
      <c r="G27" s="28"/>
      <c r="H27" s="28"/>
      <c r="I27" s="28"/>
      <c r="J27" s="28"/>
      <c r="K27" s="25">
        <v>2</v>
      </c>
      <c r="L27" s="28"/>
      <c r="M27" s="28"/>
      <c r="N27" s="28"/>
      <c r="O27" s="28"/>
      <c r="P27" s="25">
        <v>1</v>
      </c>
      <c r="Q27" s="28"/>
      <c r="R27" s="28"/>
      <c r="S27" s="25">
        <v>2</v>
      </c>
      <c r="T27" s="28"/>
      <c r="U27" s="28"/>
      <c r="V27" s="28"/>
      <c r="W27" s="28"/>
      <c r="X27" s="28"/>
      <c r="Y27" s="28"/>
      <c r="Z27" s="28"/>
      <c r="AA27" s="25">
        <v>4</v>
      </c>
      <c r="AB27" s="28"/>
      <c r="AC27" s="28"/>
      <c r="AD27" s="28"/>
      <c r="AE27" s="28"/>
      <c r="AF27" s="25">
        <v>3</v>
      </c>
      <c r="AG27" s="28"/>
      <c r="AH27" s="28"/>
      <c r="AI27" s="28"/>
      <c r="AJ27" s="25">
        <v>1</v>
      </c>
      <c r="AK27" s="28"/>
      <c r="AL27" s="28"/>
      <c r="AM27" s="28"/>
      <c r="AN27" s="28"/>
      <c r="AO27" s="28"/>
      <c r="AP27" s="28"/>
      <c r="AQ27" t="s" s="27">
        <v>131</v>
      </c>
      <c r="AR27" s="25">
        <v>1</v>
      </c>
      <c r="AS27" s="28"/>
      <c r="AT27" s="28"/>
      <c r="AU27" s="28"/>
      <c r="AV27" s="28"/>
      <c r="AW27" s="28"/>
      <c r="AX27" s="28"/>
      <c r="AY27" s="28"/>
      <c r="AZ27" s="28"/>
      <c r="BA27" s="28"/>
      <c r="BB27" s="25">
        <v>3</v>
      </c>
      <c r="BC27" s="28"/>
      <c r="BD27" s="28"/>
      <c r="BE27" s="28"/>
    </row>
    <row r="28" ht="13.55" customHeight="1">
      <c r="A28" s="25">
        <v>6605044886</v>
      </c>
      <c r="B28" s="25">
        <v>167721399</v>
      </c>
      <c r="C28" s="26">
        <v>43097.5850462963</v>
      </c>
      <c r="D28" s="26">
        <v>43097.586041666669</v>
      </c>
      <c r="E28" t="s" s="27">
        <v>132</v>
      </c>
      <c r="F28" s="28"/>
      <c r="G28" s="28"/>
      <c r="H28" s="28"/>
      <c r="I28" s="28"/>
      <c r="J28" s="28"/>
      <c r="K28" s="28"/>
      <c r="L28" s="25">
        <v>3</v>
      </c>
      <c r="M28" s="28"/>
      <c r="N28" s="28"/>
      <c r="O28" s="28"/>
      <c r="P28" s="25">
        <v>1</v>
      </c>
      <c r="Q28" s="28"/>
      <c r="R28" s="25">
        <v>1</v>
      </c>
      <c r="S28" s="28"/>
      <c r="T28" s="28"/>
      <c r="U28" s="28"/>
      <c r="V28" s="28"/>
      <c r="W28" s="28"/>
      <c r="X28" s="28"/>
      <c r="Y28" s="28"/>
      <c r="Z28" s="25">
        <v>3</v>
      </c>
      <c r="AA28" s="28"/>
      <c r="AB28" s="28"/>
      <c r="AC28" s="28"/>
      <c r="AD28" s="28"/>
      <c r="AE28" s="25">
        <v>2</v>
      </c>
      <c r="AF28" s="28"/>
      <c r="AG28" s="28"/>
      <c r="AH28" s="28"/>
      <c r="AI28" s="28"/>
      <c r="AJ28" s="28"/>
      <c r="AK28" s="28"/>
      <c r="AL28" s="28"/>
      <c r="AM28" s="25">
        <v>4</v>
      </c>
      <c r="AN28" s="25">
        <v>5</v>
      </c>
      <c r="AO28" s="28"/>
      <c r="AP28" s="28"/>
      <c r="AQ28" t="s" s="27">
        <v>133</v>
      </c>
      <c r="AR28" s="28"/>
      <c r="AS28" s="28"/>
      <c r="AT28" s="25">
        <v>3</v>
      </c>
      <c r="AU28" s="28"/>
      <c r="AV28" s="28"/>
      <c r="AW28" s="28"/>
      <c r="AX28" s="28"/>
      <c r="AY28" s="28"/>
      <c r="AZ28" s="28"/>
      <c r="BA28" s="28"/>
      <c r="BB28" s="28"/>
      <c r="BC28" s="25">
        <v>4</v>
      </c>
      <c r="BD28" s="28"/>
      <c r="BE28" s="28"/>
    </row>
    <row r="29" ht="13.55" customHeight="1">
      <c r="A29" s="25">
        <v>6604250474</v>
      </c>
      <c r="B29" s="25">
        <v>167721399</v>
      </c>
      <c r="C29" s="26">
        <v>43097.075081018520</v>
      </c>
      <c r="D29" s="26">
        <v>43097.077141203707</v>
      </c>
      <c r="E29" t="s" s="27">
        <v>134</v>
      </c>
      <c r="F29" s="28"/>
      <c r="G29" s="28"/>
      <c r="H29" s="28"/>
      <c r="I29" s="28"/>
      <c r="J29" s="28"/>
      <c r="K29" s="28"/>
      <c r="L29" s="25">
        <v>3</v>
      </c>
      <c r="M29" s="28"/>
      <c r="N29" s="28"/>
      <c r="O29" s="28"/>
      <c r="P29" s="25">
        <v>1</v>
      </c>
      <c r="Q29" s="28"/>
      <c r="R29" s="25">
        <v>1</v>
      </c>
      <c r="S29" s="28"/>
      <c r="T29" s="28"/>
      <c r="U29" s="28"/>
      <c r="V29" s="28"/>
      <c r="W29" s="28"/>
      <c r="X29" s="28"/>
      <c r="Y29" s="28"/>
      <c r="Z29" s="25">
        <v>3</v>
      </c>
      <c r="AA29" s="28"/>
      <c r="AB29" s="28"/>
      <c r="AC29" s="28"/>
      <c r="AD29" s="25">
        <v>1</v>
      </c>
      <c r="AE29" s="28"/>
      <c r="AF29" s="28"/>
      <c r="AG29" s="28"/>
      <c r="AH29" s="28"/>
      <c r="AI29" s="28"/>
      <c r="AJ29" s="25">
        <v>1</v>
      </c>
      <c r="AK29" s="28"/>
      <c r="AL29" s="28"/>
      <c r="AM29" s="28"/>
      <c r="AN29" s="28"/>
      <c r="AO29" s="28"/>
      <c r="AP29" s="28"/>
      <c r="AQ29" t="s" s="27">
        <v>135</v>
      </c>
      <c r="AR29" s="25">
        <v>1</v>
      </c>
      <c r="AS29" s="28"/>
      <c r="AT29" s="28"/>
      <c r="AU29" s="28"/>
      <c r="AV29" s="28"/>
      <c r="AW29" s="28"/>
      <c r="AX29" s="28"/>
      <c r="AY29" s="28"/>
      <c r="AZ29" s="28"/>
      <c r="BA29" s="28"/>
      <c r="BB29" s="25">
        <v>3</v>
      </c>
      <c r="BC29" s="28"/>
      <c r="BD29" s="28"/>
      <c r="BE29" s="28"/>
    </row>
    <row r="30" ht="13.55" customHeight="1">
      <c r="A30" s="25">
        <v>6602473831</v>
      </c>
      <c r="B30" s="25">
        <v>167721399</v>
      </c>
      <c r="C30" s="26">
        <v>43095.704895833333</v>
      </c>
      <c r="D30" s="26">
        <v>43095.705740740741</v>
      </c>
      <c r="E30" t="s" s="27">
        <v>136</v>
      </c>
      <c r="F30" s="28"/>
      <c r="G30" s="28"/>
      <c r="H30" s="28"/>
      <c r="I30" s="28"/>
      <c r="J30" s="28"/>
      <c r="K30" s="28"/>
      <c r="L30" s="25">
        <v>3</v>
      </c>
      <c r="M30" s="28"/>
      <c r="N30" s="28"/>
      <c r="O30" s="28"/>
      <c r="P30" s="25">
        <v>1</v>
      </c>
      <c r="Q30" s="28"/>
      <c r="R30" s="28"/>
      <c r="S30" s="25">
        <v>2</v>
      </c>
      <c r="T30" s="28"/>
      <c r="U30" s="28"/>
      <c r="V30" s="28"/>
      <c r="W30" s="28"/>
      <c r="X30" s="28"/>
      <c r="Y30" s="25">
        <v>2</v>
      </c>
      <c r="Z30" s="28"/>
      <c r="AA30" s="28"/>
      <c r="AB30" s="28"/>
      <c r="AC30" s="28"/>
      <c r="AD30" s="28"/>
      <c r="AE30" s="25">
        <v>2</v>
      </c>
      <c r="AF30" s="28"/>
      <c r="AG30" s="28"/>
      <c r="AH30" s="28"/>
      <c r="AI30" s="28"/>
      <c r="AJ30" s="25">
        <v>1</v>
      </c>
      <c r="AK30" s="28"/>
      <c r="AL30" s="28"/>
      <c r="AM30" s="28"/>
      <c r="AN30" s="28"/>
      <c r="AO30" s="28"/>
      <c r="AP30" s="28"/>
      <c r="AQ30" t="s" s="27">
        <v>137</v>
      </c>
      <c r="AR30" s="28"/>
      <c r="AS30" s="28"/>
      <c r="AT30" s="28"/>
      <c r="AU30" s="25">
        <v>4</v>
      </c>
      <c r="AV30" s="28"/>
      <c r="AW30" s="28"/>
      <c r="AX30" s="28"/>
      <c r="AY30" s="28"/>
      <c r="AZ30" s="28"/>
      <c r="BA30" s="28"/>
      <c r="BB30" s="25">
        <v>3</v>
      </c>
      <c r="BC30" s="28"/>
      <c r="BD30" s="28"/>
      <c r="BE30" s="28"/>
    </row>
    <row r="31" ht="13.55" customHeight="1">
      <c r="A31" s="25">
        <v>6601629867</v>
      </c>
      <c r="B31" s="25">
        <v>167721399</v>
      </c>
      <c r="C31" s="26">
        <v>43094.859664351847</v>
      </c>
      <c r="D31" s="26">
        <v>43094.860416666670</v>
      </c>
      <c r="E31" t="s" s="27">
        <v>138</v>
      </c>
      <c r="F31" s="28"/>
      <c r="G31" s="28"/>
      <c r="H31" s="28"/>
      <c r="I31" s="28"/>
      <c r="J31" s="28"/>
      <c r="K31" s="25">
        <v>2</v>
      </c>
      <c r="L31" s="28"/>
      <c r="M31" s="28"/>
      <c r="N31" s="28"/>
      <c r="O31" s="28"/>
      <c r="P31" s="28"/>
      <c r="Q31" s="25">
        <v>2</v>
      </c>
      <c r="R31" s="28"/>
      <c r="S31" s="28"/>
      <c r="T31" s="25">
        <v>3</v>
      </c>
      <c r="U31" s="28"/>
      <c r="V31" s="28"/>
      <c r="W31" s="28"/>
      <c r="X31" s="28"/>
      <c r="Y31" s="25">
        <v>2</v>
      </c>
      <c r="Z31" s="28"/>
      <c r="AA31" s="28"/>
      <c r="AB31" s="28"/>
      <c r="AC31" s="28"/>
      <c r="AD31" s="25">
        <v>1</v>
      </c>
      <c r="AE31" s="28"/>
      <c r="AF31" s="28"/>
      <c r="AG31" s="28"/>
      <c r="AH31" s="28"/>
      <c r="AI31" s="28"/>
      <c r="AJ31" s="25">
        <v>1</v>
      </c>
      <c r="AK31" s="28"/>
      <c r="AL31" s="28"/>
      <c r="AM31" s="28"/>
      <c r="AN31" s="28"/>
      <c r="AO31" s="28"/>
      <c r="AP31" s="28"/>
      <c r="AQ31" t="s" s="27">
        <v>139</v>
      </c>
      <c r="AR31" s="28"/>
      <c r="AS31" s="28"/>
      <c r="AT31" s="25">
        <v>3</v>
      </c>
      <c r="AU31" s="28"/>
      <c r="AV31" s="28"/>
      <c r="AW31" s="28"/>
      <c r="AX31" s="28"/>
      <c r="AY31" s="28"/>
      <c r="AZ31" s="28"/>
      <c r="BA31" s="28"/>
      <c r="BB31" s="25">
        <v>3</v>
      </c>
      <c r="BC31" s="28"/>
      <c r="BD31" s="28"/>
      <c r="BE31" s="28"/>
    </row>
    <row r="32" ht="13.55" customHeight="1">
      <c r="A32" s="25">
        <v>6601508509</v>
      </c>
      <c r="B32" s="25">
        <v>167721399</v>
      </c>
      <c r="C32" s="26">
        <v>43094.605567129627</v>
      </c>
      <c r="D32" s="26">
        <v>43094.606238425928</v>
      </c>
      <c r="E32" t="s" s="27">
        <v>140</v>
      </c>
      <c r="F32" s="28"/>
      <c r="G32" s="28"/>
      <c r="H32" s="28"/>
      <c r="I32" s="28"/>
      <c r="J32" s="28"/>
      <c r="K32" s="28"/>
      <c r="L32" s="25">
        <v>3</v>
      </c>
      <c r="M32" s="28"/>
      <c r="N32" s="28"/>
      <c r="O32" s="28"/>
      <c r="P32" s="28"/>
      <c r="Q32" s="25">
        <v>2</v>
      </c>
      <c r="R32" s="28"/>
      <c r="S32" s="28"/>
      <c r="T32" s="25">
        <v>3</v>
      </c>
      <c r="U32" s="28"/>
      <c r="V32" s="28"/>
      <c r="W32" s="28"/>
      <c r="X32" s="28"/>
      <c r="Y32" s="28"/>
      <c r="Z32" s="25">
        <v>3</v>
      </c>
      <c r="AA32" s="28"/>
      <c r="AB32" s="28"/>
      <c r="AC32" s="28"/>
      <c r="AD32" s="28"/>
      <c r="AE32" s="25">
        <v>2</v>
      </c>
      <c r="AF32" s="28"/>
      <c r="AG32" s="28"/>
      <c r="AH32" s="28"/>
      <c r="AI32" s="28"/>
      <c r="AJ32" s="25">
        <v>1</v>
      </c>
      <c r="AK32" s="25">
        <v>2</v>
      </c>
      <c r="AL32" s="28"/>
      <c r="AM32" s="28"/>
      <c r="AN32" s="28"/>
      <c r="AO32" s="28"/>
      <c r="AP32" s="28"/>
      <c r="AQ32" t="s" s="27">
        <v>141</v>
      </c>
      <c r="AR32" s="28"/>
      <c r="AS32" s="28"/>
      <c r="AT32" s="28"/>
      <c r="AU32" s="25">
        <v>4</v>
      </c>
      <c r="AV32" s="28"/>
      <c r="AW32" s="28"/>
      <c r="AX32" s="28"/>
      <c r="AY32" s="28"/>
      <c r="AZ32" s="28"/>
      <c r="BA32" s="28"/>
      <c r="BB32" s="28"/>
      <c r="BC32" s="25">
        <v>4</v>
      </c>
      <c r="BD32" s="28"/>
      <c r="BE32" s="28"/>
    </row>
    <row r="33" ht="13.55" customHeight="1">
      <c r="A33" s="25">
        <v>6601473042</v>
      </c>
      <c r="B33" s="25">
        <v>167721399</v>
      </c>
      <c r="C33" s="26">
        <v>43094.513194444437</v>
      </c>
      <c r="D33" s="26">
        <v>43094.515486111108</v>
      </c>
      <c r="E33" t="s" s="27">
        <v>142</v>
      </c>
      <c r="F33" s="28"/>
      <c r="G33" s="28"/>
      <c r="H33" s="28"/>
      <c r="I33" s="28"/>
      <c r="J33" s="28"/>
      <c r="K33" s="28"/>
      <c r="L33" s="25">
        <v>3</v>
      </c>
      <c r="M33" s="28"/>
      <c r="N33" s="28"/>
      <c r="O33" s="28"/>
      <c r="P33" s="25">
        <v>1</v>
      </c>
      <c r="Q33" s="28"/>
      <c r="R33" s="28"/>
      <c r="S33" s="25">
        <v>2</v>
      </c>
      <c r="T33" s="28"/>
      <c r="U33" s="28"/>
      <c r="V33" s="28"/>
      <c r="W33" s="28"/>
      <c r="X33" s="28"/>
      <c r="Y33" s="25">
        <v>2</v>
      </c>
      <c r="Z33" s="28"/>
      <c r="AA33" s="28"/>
      <c r="AB33" s="28"/>
      <c r="AC33" s="28"/>
      <c r="AD33" s="25">
        <v>1</v>
      </c>
      <c r="AE33" s="28"/>
      <c r="AF33" s="28"/>
      <c r="AG33" s="28"/>
      <c r="AH33" s="28"/>
      <c r="AI33" s="28"/>
      <c r="AJ33" s="25">
        <v>1</v>
      </c>
      <c r="AK33" s="28"/>
      <c r="AL33" s="28"/>
      <c r="AM33" s="28"/>
      <c r="AN33" s="28"/>
      <c r="AO33" s="28"/>
      <c r="AP33" s="28"/>
      <c r="AQ33" t="s" s="27">
        <v>143</v>
      </c>
      <c r="AR33" s="25">
        <v>1</v>
      </c>
      <c r="AS33" s="28"/>
      <c r="AT33" s="28"/>
      <c r="AU33" s="28"/>
      <c r="AV33" s="28"/>
      <c r="AW33" s="28"/>
      <c r="AX33" s="28"/>
      <c r="AY33" s="28"/>
      <c r="AZ33" s="28"/>
      <c r="BA33" s="28"/>
      <c r="BB33" s="25">
        <v>3</v>
      </c>
      <c r="BC33" s="28"/>
      <c r="BD33" s="28"/>
      <c r="BE33" s="28"/>
    </row>
    <row r="34" ht="13.55" customHeight="1">
      <c r="A34" s="25">
        <v>6601389777</v>
      </c>
      <c r="B34" s="25">
        <v>167721399</v>
      </c>
      <c r="C34" s="26">
        <v>43094.332615740743</v>
      </c>
      <c r="D34" s="26">
        <v>43094.333333333343</v>
      </c>
      <c r="E34" t="s" s="27">
        <v>144</v>
      </c>
      <c r="F34" s="28"/>
      <c r="G34" s="28"/>
      <c r="H34" s="28"/>
      <c r="I34" s="28"/>
      <c r="J34" s="28"/>
      <c r="K34" s="28"/>
      <c r="L34" s="25">
        <v>3</v>
      </c>
      <c r="M34" s="28"/>
      <c r="N34" s="28"/>
      <c r="O34" s="28"/>
      <c r="P34" s="25">
        <v>1</v>
      </c>
      <c r="Q34" s="28"/>
      <c r="R34" s="28"/>
      <c r="S34" s="25">
        <v>2</v>
      </c>
      <c r="T34" s="28"/>
      <c r="U34" s="28"/>
      <c r="V34" s="28"/>
      <c r="W34" s="28"/>
      <c r="X34" s="28"/>
      <c r="Y34" s="25">
        <v>2</v>
      </c>
      <c r="Z34" s="28"/>
      <c r="AA34" s="28"/>
      <c r="AB34" s="28"/>
      <c r="AC34" s="28"/>
      <c r="AD34" s="25">
        <v>1</v>
      </c>
      <c r="AE34" s="28"/>
      <c r="AF34" s="28"/>
      <c r="AG34" s="28"/>
      <c r="AH34" s="28"/>
      <c r="AI34" s="28"/>
      <c r="AJ34" s="28"/>
      <c r="AK34" s="28"/>
      <c r="AL34" s="28"/>
      <c r="AM34" s="28"/>
      <c r="AN34" s="28"/>
      <c r="AO34" s="25">
        <v>6</v>
      </c>
      <c r="AP34" s="28"/>
      <c r="AQ34" t="s" s="27">
        <v>145</v>
      </c>
      <c r="AR34" s="28"/>
      <c r="AS34" s="28"/>
      <c r="AT34" s="28"/>
      <c r="AU34" s="25">
        <v>4</v>
      </c>
      <c r="AV34" s="28"/>
      <c r="AW34" s="28"/>
      <c r="AX34" s="28"/>
      <c r="AY34" s="28"/>
      <c r="AZ34" s="28"/>
      <c r="BA34" s="28"/>
      <c r="BB34" s="25">
        <v>3</v>
      </c>
      <c r="BC34" s="28"/>
      <c r="BD34" s="28"/>
      <c r="BE34" s="28"/>
    </row>
    <row r="35" ht="13.55" customHeight="1">
      <c r="A35" s="25">
        <v>6601159206</v>
      </c>
      <c r="B35" s="25">
        <v>167721399</v>
      </c>
      <c r="C35" s="26">
        <v>43093.900497685187</v>
      </c>
      <c r="D35" s="26">
        <v>43093.902048611111</v>
      </c>
      <c r="E35" t="s" s="27">
        <v>146</v>
      </c>
      <c r="F35" s="28"/>
      <c r="G35" s="28"/>
      <c r="H35" s="28"/>
      <c r="I35" s="28"/>
      <c r="J35" s="28"/>
      <c r="K35" s="25">
        <v>2</v>
      </c>
      <c r="L35" s="28"/>
      <c r="M35" s="28"/>
      <c r="N35" s="28"/>
      <c r="O35" s="28"/>
      <c r="P35" s="25">
        <v>1</v>
      </c>
      <c r="Q35" s="28"/>
      <c r="R35" s="25">
        <v>1</v>
      </c>
      <c r="S35" s="28"/>
      <c r="T35" s="28"/>
      <c r="U35" s="28"/>
      <c r="V35" s="28"/>
      <c r="W35" s="28"/>
      <c r="X35" s="28"/>
      <c r="Y35" s="25">
        <v>2</v>
      </c>
      <c r="Z35" s="28"/>
      <c r="AA35" s="28"/>
      <c r="AB35" s="28"/>
      <c r="AC35" s="28"/>
      <c r="AD35" s="28"/>
      <c r="AE35" s="25">
        <v>2</v>
      </c>
      <c r="AF35" s="28"/>
      <c r="AG35" s="28"/>
      <c r="AH35" s="28"/>
      <c r="AI35" s="28"/>
      <c r="AJ35" s="25">
        <v>1</v>
      </c>
      <c r="AK35" s="28"/>
      <c r="AL35" s="28"/>
      <c r="AM35" s="28"/>
      <c r="AN35" s="28"/>
      <c r="AO35" s="25">
        <v>6</v>
      </c>
      <c r="AP35" s="28"/>
      <c r="AQ35" t="s" s="27">
        <v>147</v>
      </c>
      <c r="AR35" s="28"/>
      <c r="AS35" s="28"/>
      <c r="AT35" s="25">
        <v>3</v>
      </c>
      <c r="AU35" s="28"/>
      <c r="AV35" s="28"/>
      <c r="AW35" s="28"/>
      <c r="AX35" s="28"/>
      <c r="AY35" s="28"/>
      <c r="AZ35" s="28"/>
      <c r="BA35" s="28"/>
      <c r="BB35" s="28"/>
      <c r="BC35" s="25">
        <v>4</v>
      </c>
      <c r="BD35" s="28"/>
      <c r="BE35" s="28"/>
    </row>
    <row r="36" ht="13.55" customHeight="1">
      <c r="A36" s="25">
        <v>6601125767</v>
      </c>
      <c r="B36" s="25">
        <v>167721399</v>
      </c>
      <c r="C36" s="26">
        <v>43093.832314814812</v>
      </c>
      <c r="D36" s="26">
        <v>43093.833379629628</v>
      </c>
      <c r="E36" t="s" s="27">
        <v>148</v>
      </c>
      <c r="F36" s="28"/>
      <c r="G36" s="28"/>
      <c r="H36" s="28"/>
      <c r="I36" s="28"/>
      <c r="J36" s="28"/>
      <c r="K36" s="28"/>
      <c r="L36" s="25">
        <v>3</v>
      </c>
      <c r="M36" s="28"/>
      <c r="N36" s="28"/>
      <c r="O36" s="28"/>
      <c r="P36" s="25">
        <v>1</v>
      </c>
      <c r="Q36" s="28"/>
      <c r="R36" s="28"/>
      <c r="S36" s="28"/>
      <c r="T36" s="28"/>
      <c r="U36" s="25">
        <v>4</v>
      </c>
      <c r="V36" s="28"/>
      <c r="W36" s="28"/>
      <c r="X36" s="28"/>
      <c r="Y36" s="28"/>
      <c r="Z36" s="28"/>
      <c r="AA36" s="28"/>
      <c r="AB36" s="25">
        <v>5</v>
      </c>
      <c r="AC36" s="28"/>
      <c r="AD36" s="28"/>
      <c r="AE36" s="28"/>
      <c r="AF36" s="28"/>
      <c r="AG36" s="28"/>
      <c r="AH36" s="25">
        <v>5</v>
      </c>
      <c r="AI36" s="28"/>
      <c r="AJ36" s="25">
        <v>1</v>
      </c>
      <c r="AK36" s="28"/>
      <c r="AL36" s="28"/>
      <c r="AM36" s="28"/>
      <c r="AN36" s="28"/>
      <c r="AO36" s="28"/>
      <c r="AP36" s="25">
        <v>7</v>
      </c>
      <c r="AQ36" t="s" s="27">
        <v>149</v>
      </c>
      <c r="AR36" s="28"/>
      <c r="AS36" s="28"/>
      <c r="AT36" s="28"/>
      <c r="AU36" s="25">
        <v>4</v>
      </c>
      <c r="AV36" s="28"/>
      <c r="AW36" s="28"/>
      <c r="AX36" s="28"/>
      <c r="AY36" s="28"/>
      <c r="AZ36" s="28"/>
      <c r="BA36" s="28"/>
      <c r="BB36" s="25">
        <v>3</v>
      </c>
      <c r="BC36" s="28"/>
      <c r="BD36" s="28"/>
      <c r="BE36" s="28"/>
    </row>
    <row r="37" ht="13.55" customHeight="1">
      <c r="A37" s="25">
        <v>6601050124</v>
      </c>
      <c r="B37" s="25">
        <v>167721399</v>
      </c>
      <c r="C37" s="26">
        <v>43093.632685185177</v>
      </c>
      <c r="D37" s="26">
        <v>43093.635</v>
      </c>
      <c r="E37" t="s" s="27">
        <v>150</v>
      </c>
      <c r="F37" s="28"/>
      <c r="G37" s="28"/>
      <c r="H37" s="28"/>
      <c r="I37" s="28"/>
      <c r="J37" s="28"/>
      <c r="K37" s="25">
        <v>2</v>
      </c>
      <c r="L37" s="28"/>
      <c r="M37" s="28"/>
      <c r="N37" s="28"/>
      <c r="O37" s="28"/>
      <c r="P37" s="25">
        <v>1</v>
      </c>
      <c r="Q37" s="28"/>
      <c r="R37" s="28"/>
      <c r="S37" s="25">
        <v>2</v>
      </c>
      <c r="T37" s="28"/>
      <c r="U37" s="28"/>
      <c r="V37" s="28"/>
      <c r="W37" s="28"/>
      <c r="X37" s="28"/>
      <c r="Y37" s="28"/>
      <c r="Z37" s="25">
        <v>3</v>
      </c>
      <c r="AA37" s="28"/>
      <c r="AB37" s="28"/>
      <c r="AC37" s="28"/>
      <c r="AD37" s="28"/>
      <c r="AE37" s="25">
        <v>2</v>
      </c>
      <c r="AF37" s="28"/>
      <c r="AG37" s="28"/>
      <c r="AH37" s="28"/>
      <c r="AI37" s="28"/>
      <c r="AJ37" s="25">
        <v>1</v>
      </c>
      <c r="AK37" s="25">
        <v>2</v>
      </c>
      <c r="AL37" s="28"/>
      <c r="AM37" s="28"/>
      <c r="AN37" s="28"/>
      <c r="AO37" s="28"/>
      <c r="AP37" s="28"/>
      <c r="AQ37" t="s" s="27">
        <v>151</v>
      </c>
      <c r="AR37" s="28"/>
      <c r="AS37" s="28"/>
      <c r="AT37" s="28"/>
      <c r="AU37" s="28"/>
      <c r="AV37" s="28"/>
      <c r="AW37" s="28"/>
      <c r="AX37" s="28"/>
      <c r="AY37" s="25">
        <v>8</v>
      </c>
      <c r="AZ37" s="28"/>
      <c r="BA37" s="28"/>
      <c r="BB37" s="25">
        <v>3</v>
      </c>
      <c r="BC37" s="28"/>
      <c r="BD37" s="28"/>
      <c r="BE37" s="28"/>
    </row>
    <row r="38" ht="13.55" customHeight="1">
      <c r="A38" s="25">
        <v>6601000974</v>
      </c>
      <c r="B38" s="25">
        <v>167721399</v>
      </c>
      <c r="C38" s="26">
        <v>43093.506493055553</v>
      </c>
      <c r="D38" s="26">
        <v>43093.507349537038</v>
      </c>
      <c r="E38" t="s" s="27">
        <v>152</v>
      </c>
      <c r="F38" s="28"/>
      <c r="G38" s="28"/>
      <c r="H38" s="28"/>
      <c r="I38" s="28"/>
      <c r="J38" s="28"/>
      <c r="K38" s="25">
        <v>2</v>
      </c>
      <c r="L38" s="28"/>
      <c r="M38" s="28"/>
      <c r="N38" s="28"/>
      <c r="O38" s="28"/>
      <c r="P38" s="25">
        <v>1</v>
      </c>
      <c r="Q38" s="28"/>
      <c r="R38" s="25">
        <v>1</v>
      </c>
      <c r="S38" s="28"/>
      <c r="T38" s="28"/>
      <c r="U38" s="28"/>
      <c r="V38" s="28"/>
      <c r="W38" s="28"/>
      <c r="X38" s="28"/>
      <c r="Y38" s="25">
        <v>2</v>
      </c>
      <c r="Z38" s="28"/>
      <c r="AA38" s="28"/>
      <c r="AB38" s="28"/>
      <c r="AC38" s="28"/>
      <c r="AD38" s="25">
        <v>1</v>
      </c>
      <c r="AE38" s="28"/>
      <c r="AF38" s="28"/>
      <c r="AG38" s="28"/>
      <c r="AH38" s="28"/>
      <c r="AI38" s="28"/>
      <c r="AJ38" s="25">
        <v>1</v>
      </c>
      <c r="AK38" s="28"/>
      <c r="AL38" s="28"/>
      <c r="AM38" s="28"/>
      <c r="AN38" s="28"/>
      <c r="AO38" s="28"/>
      <c r="AP38" s="28"/>
      <c r="AQ38" t="s" s="27">
        <v>153</v>
      </c>
      <c r="AR38" s="28"/>
      <c r="AS38" s="25">
        <v>2</v>
      </c>
      <c r="AT38" s="28"/>
      <c r="AU38" s="28"/>
      <c r="AV38" s="28"/>
      <c r="AW38" s="28"/>
      <c r="AX38" s="28"/>
      <c r="AY38" s="28"/>
      <c r="AZ38" s="28"/>
      <c r="BA38" s="28"/>
      <c r="BB38" s="25">
        <v>3</v>
      </c>
      <c r="BC38" s="28"/>
      <c r="BD38" s="28"/>
      <c r="BE38" s="28"/>
    </row>
    <row r="39" ht="13.55" customHeight="1">
      <c r="A39" s="25">
        <v>6600937747</v>
      </c>
      <c r="B39" s="25">
        <v>167721399</v>
      </c>
      <c r="C39" s="26">
        <v>43093.372210648151</v>
      </c>
      <c r="D39" s="26">
        <v>43093.3728587963</v>
      </c>
      <c r="E39" t="s" s="27">
        <v>154</v>
      </c>
      <c r="F39" s="28"/>
      <c r="G39" s="28"/>
      <c r="H39" s="28"/>
      <c r="I39" s="28"/>
      <c r="J39" s="28"/>
      <c r="K39" s="25">
        <v>2</v>
      </c>
      <c r="L39" s="28"/>
      <c r="M39" s="28"/>
      <c r="N39" s="28"/>
      <c r="O39" s="28"/>
      <c r="P39" s="25">
        <v>1</v>
      </c>
      <c r="Q39" s="28"/>
      <c r="R39" s="25">
        <v>1</v>
      </c>
      <c r="S39" s="28"/>
      <c r="T39" s="28"/>
      <c r="U39" s="28"/>
      <c r="V39" s="28"/>
      <c r="W39" s="28"/>
      <c r="X39" s="28"/>
      <c r="Y39" s="28"/>
      <c r="Z39" s="28"/>
      <c r="AA39" s="25">
        <v>4</v>
      </c>
      <c r="AB39" s="28"/>
      <c r="AC39" s="28"/>
      <c r="AD39" s="28"/>
      <c r="AE39" s="28"/>
      <c r="AF39" s="25">
        <v>3</v>
      </c>
      <c r="AG39" s="28"/>
      <c r="AH39" s="28"/>
      <c r="AI39" s="28"/>
      <c r="AJ39" s="28"/>
      <c r="AK39" s="28"/>
      <c r="AL39" s="28"/>
      <c r="AM39" s="28"/>
      <c r="AN39" s="25">
        <v>5</v>
      </c>
      <c r="AO39" s="25">
        <v>6</v>
      </c>
      <c r="AP39" s="28"/>
      <c r="AQ39" t="s" s="27">
        <v>155</v>
      </c>
      <c r="AR39" s="28"/>
      <c r="AS39" s="28"/>
      <c r="AT39" s="28"/>
      <c r="AU39" s="28"/>
      <c r="AV39" s="28"/>
      <c r="AW39" s="28"/>
      <c r="AX39" s="28"/>
      <c r="AY39" s="25">
        <v>8</v>
      </c>
      <c r="AZ39" s="28"/>
      <c r="BA39" s="28"/>
      <c r="BB39" s="25">
        <v>3</v>
      </c>
      <c r="BC39" s="28"/>
      <c r="BD39" s="28"/>
      <c r="BE39" s="28"/>
    </row>
    <row r="40" ht="13.55" customHeight="1">
      <c r="A40" s="25">
        <v>6600903260</v>
      </c>
      <c r="B40" s="25">
        <v>167721399</v>
      </c>
      <c r="C40" s="26">
        <v>43093.305069444446</v>
      </c>
      <c r="D40" s="26">
        <v>43093.305787037039</v>
      </c>
      <c r="E40" t="s" s="27">
        <v>156</v>
      </c>
      <c r="F40" s="28"/>
      <c r="G40" s="28"/>
      <c r="H40" s="28"/>
      <c r="I40" s="28"/>
      <c r="J40" s="28"/>
      <c r="K40" s="28"/>
      <c r="L40" s="25">
        <v>3</v>
      </c>
      <c r="M40" s="28"/>
      <c r="N40" s="28"/>
      <c r="O40" s="28"/>
      <c r="P40" s="28"/>
      <c r="Q40" s="25">
        <v>2</v>
      </c>
      <c r="R40" s="25">
        <v>1</v>
      </c>
      <c r="S40" s="28"/>
      <c r="T40" s="28"/>
      <c r="U40" s="28"/>
      <c r="V40" s="28"/>
      <c r="W40" s="28"/>
      <c r="X40" s="28"/>
      <c r="Y40" s="25">
        <v>2</v>
      </c>
      <c r="Z40" s="28"/>
      <c r="AA40" s="28"/>
      <c r="AB40" s="28"/>
      <c r="AC40" s="28"/>
      <c r="AD40" s="25">
        <v>1</v>
      </c>
      <c r="AE40" s="28"/>
      <c r="AF40" s="28"/>
      <c r="AG40" s="28"/>
      <c r="AH40" s="28"/>
      <c r="AI40" s="28"/>
      <c r="AJ40" s="25">
        <v>1</v>
      </c>
      <c r="AK40" s="28"/>
      <c r="AL40" s="28"/>
      <c r="AM40" s="28"/>
      <c r="AN40" s="28"/>
      <c r="AO40" s="28"/>
      <c r="AP40" s="28"/>
      <c r="AQ40" t="s" s="27">
        <v>157</v>
      </c>
      <c r="AR40" s="28"/>
      <c r="AS40" s="28"/>
      <c r="AT40" s="28"/>
      <c r="AU40" s="28"/>
      <c r="AV40" s="28"/>
      <c r="AW40" s="28"/>
      <c r="AX40" s="28"/>
      <c r="AY40" s="25">
        <v>8</v>
      </c>
      <c r="AZ40" s="28"/>
      <c r="BA40" s="28"/>
      <c r="BB40" s="25">
        <v>3</v>
      </c>
      <c r="BC40" s="28"/>
      <c r="BD40" s="28"/>
      <c r="BE40" s="28"/>
    </row>
    <row r="41" ht="13.55" customHeight="1">
      <c r="A41" s="25">
        <v>6600895886</v>
      </c>
      <c r="B41" s="25">
        <v>167721399</v>
      </c>
      <c r="C41" s="26">
        <v>43093.289525462962</v>
      </c>
      <c r="D41" s="26">
        <v>43093.292615740742</v>
      </c>
      <c r="E41" t="s" s="27">
        <v>158</v>
      </c>
      <c r="F41" s="28"/>
      <c r="G41" s="28"/>
      <c r="H41" s="28"/>
      <c r="I41" s="28"/>
      <c r="J41" s="28"/>
      <c r="K41" s="25">
        <v>2</v>
      </c>
      <c r="L41" s="28"/>
      <c r="M41" s="28"/>
      <c r="N41" s="28"/>
      <c r="O41" s="28"/>
      <c r="P41" s="25">
        <v>1</v>
      </c>
      <c r="Q41" s="28"/>
      <c r="R41" s="28"/>
      <c r="S41" s="28"/>
      <c r="T41" s="28"/>
      <c r="U41" s="25">
        <v>4</v>
      </c>
      <c r="V41" s="28"/>
      <c r="W41" s="28"/>
      <c r="X41" s="28"/>
      <c r="Y41" s="28"/>
      <c r="Z41" s="25">
        <v>3</v>
      </c>
      <c r="AA41" s="28"/>
      <c r="AB41" s="28"/>
      <c r="AC41" s="28"/>
      <c r="AD41" s="28"/>
      <c r="AE41" s="28"/>
      <c r="AF41" s="25">
        <v>3</v>
      </c>
      <c r="AG41" s="28"/>
      <c r="AH41" s="28"/>
      <c r="AI41" s="28"/>
      <c r="AJ41" s="25">
        <v>1</v>
      </c>
      <c r="AK41" s="28"/>
      <c r="AL41" s="28"/>
      <c r="AM41" s="28"/>
      <c r="AN41" s="28"/>
      <c r="AO41" s="28"/>
      <c r="AP41" s="28"/>
      <c r="AQ41" t="s" s="27">
        <v>159</v>
      </c>
      <c r="AR41" s="28"/>
      <c r="AS41" s="25">
        <v>2</v>
      </c>
      <c r="AT41" s="28"/>
      <c r="AU41" s="28"/>
      <c r="AV41" s="28"/>
      <c r="AW41" s="28"/>
      <c r="AX41" s="28"/>
      <c r="AY41" s="28"/>
      <c r="AZ41" s="28"/>
      <c r="BA41" s="28"/>
      <c r="BB41" s="25">
        <v>3</v>
      </c>
      <c r="BC41" s="28"/>
      <c r="BD41" s="28"/>
      <c r="BE41" s="28"/>
    </row>
    <row r="42" ht="13.55" customHeight="1">
      <c r="A42" s="25">
        <v>6600840104</v>
      </c>
      <c r="B42" s="25">
        <v>167721399</v>
      </c>
      <c r="C42" s="26">
        <v>43093.197789351849</v>
      </c>
      <c r="D42" s="26">
        <v>43093.198541666658</v>
      </c>
      <c r="E42" t="s" s="27">
        <v>160</v>
      </c>
      <c r="F42" s="28"/>
      <c r="G42" s="28"/>
      <c r="H42" s="28"/>
      <c r="I42" s="28"/>
      <c r="J42" s="28"/>
      <c r="K42" s="25">
        <v>2</v>
      </c>
      <c r="L42" s="28"/>
      <c r="M42" s="28"/>
      <c r="N42" s="28"/>
      <c r="O42" s="28"/>
      <c r="P42" s="25">
        <v>1</v>
      </c>
      <c r="Q42" s="28"/>
      <c r="R42" s="25">
        <v>1</v>
      </c>
      <c r="S42" s="28"/>
      <c r="T42" s="28"/>
      <c r="U42" s="28"/>
      <c r="V42" s="28"/>
      <c r="W42" s="28"/>
      <c r="X42" s="28"/>
      <c r="Y42" s="25">
        <v>2</v>
      </c>
      <c r="Z42" s="28"/>
      <c r="AA42" s="28"/>
      <c r="AB42" s="28"/>
      <c r="AC42" s="28"/>
      <c r="AD42" s="28"/>
      <c r="AE42" s="28"/>
      <c r="AF42" s="25">
        <v>3</v>
      </c>
      <c r="AG42" s="28"/>
      <c r="AH42" s="28"/>
      <c r="AI42" s="28"/>
      <c r="AJ42" s="25">
        <v>1</v>
      </c>
      <c r="AK42" s="25">
        <v>2</v>
      </c>
      <c r="AL42" s="28"/>
      <c r="AM42" s="28"/>
      <c r="AN42" s="25">
        <v>5</v>
      </c>
      <c r="AO42" s="25">
        <v>6</v>
      </c>
      <c r="AP42" s="28"/>
      <c r="AQ42" t="s" s="27">
        <v>161</v>
      </c>
      <c r="AR42" s="28"/>
      <c r="AS42" s="25">
        <v>2</v>
      </c>
      <c r="AT42" s="28"/>
      <c r="AU42" s="28"/>
      <c r="AV42" s="28"/>
      <c r="AW42" s="28"/>
      <c r="AX42" s="28"/>
      <c r="AY42" s="28"/>
      <c r="AZ42" s="28"/>
      <c r="BA42" s="28"/>
      <c r="BB42" s="25">
        <v>3</v>
      </c>
      <c r="BC42" s="28"/>
      <c r="BD42" s="28"/>
      <c r="BE42" s="28"/>
    </row>
    <row r="43" ht="13.55" customHeight="1">
      <c r="A43" s="25">
        <v>6600697765</v>
      </c>
      <c r="B43" s="25">
        <v>167721399</v>
      </c>
      <c r="C43" s="26">
        <v>43092.913194444453</v>
      </c>
      <c r="D43" s="26">
        <v>43092.9141087963</v>
      </c>
      <c r="E43" t="s" s="27">
        <v>162</v>
      </c>
      <c r="F43" s="28"/>
      <c r="G43" s="28"/>
      <c r="H43" s="28"/>
      <c r="I43" s="28"/>
      <c r="J43" s="28"/>
      <c r="K43" s="28"/>
      <c r="L43" s="25">
        <v>3</v>
      </c>
      <c r="M43" s="28"/>
      <c r="N43" s="28"/>
      <c r="O43" s="28"/>
      <c r="P43" s="25">
        <v>1</v>
      </c>
      <c r="Q43" s="28"/>
      <c r="R43" s="25">
        <v>1</v>
      </c>
      <c r="S43" s="28"/>
      <c r="T43" s="28"/>
      <c r="U43" s="28"/>
      <c r="V43" s="28"/>
      <c r="W43" s="28"/>
      <c r="X43" s="28"/>
      <c r="Y43" s="28"/>
      <c r="Z43" s="28"/>
      <c r="AA43" s="25">
        <v>4</v>
      </c>
      <c r="AB43" s="28"/>
      <c r="AC43" s="28"/>
      <c r="AD43" s="28"/>
      <c r="AE43" s="28"/>
      <c r="AF43" s="25">
        <v>3</v>
      </c>
      <c r="AG43" s="28"/>
      <c r="AH43" s="28"/>
      <c r="AI43" s="28"/>
      <c r="AJ43" s="25">
        <v>1</v>
      </c>
      <c r="AK43" s="28"/>
      <c r="AL43" s="28"/>
      <c r="AM43" s="28"/>
      <c r="AN43" s="28"/>
      <c r="AO43" s="25">
        <v>6</v>
      </c>
      <c r="AP43" s="28"/>
      <c r="AQ43" t="s" s="27">
        <v>163</v>
      </c>
      <c r="AR43" s="28"/>
      <c r="AS43" s="28"/>
      <c r="AT43" s="25">
        <v>3</v>
      </c>
      <c r="AU43" s="28"/>
      <c r="AV43" s="28"/>
      <c r="AW43" s="28"/>
      <c r="AX43" s="28"/>
      <c r="AY43" s="28"/>
      <c r="AZ43" s="28"/>
      <c r="BA43" s="28"/>
      <c r="BB43" s="25">
        <v>3</v>
      </c>
      <c r="BC43" s="28"/>
      <c r="BD43" s="28"/>
      <c r="BE43" s="28"/>
    </row>
    <row r="44" ht="13.55" customHeight="1">
      <c r="A44" s="25">
        <v>6600692735</v>
      </c>
      <c r="B44" s="25">
        <v>167721399</v>
      </c>
      <c r="C44" s="26">
        <v>43092.9016087963</v>
      </c>
      <c r="D44" s="26">
        <v>43092.9025</v>
      </c>
      <c r="E44" t="s" s="27">
        <v>164</v>
      </c>
      <c r="F44" s="28"/>
      <c r="G44" s="28"/>
      <c r="H44" s="28"/>
      <c r="I44" s="28"/>
      <c r="J44" s="28"/>
      <c r="K44" s="25">
        <v>2</v>
      </c>
      <c r="L44" s="28"/>
      <c r="M44" s="28"/>
      <c r="N44" s="28"/>
      <c r="O44" s="28"/>
      <c r="P44" s="25">
        <v>1</v>
      </c>
      <c r="Q44" s="28"/>
      <c r="R44" s="28"/>
      <c r="S44" s="25">
        <v>2</v>
      </c>
      <c r="T44" s="28"/>
      <c r="U44" s="28"/>
      <c r="V44" s="28"/>
      <c r="W44" s="28"/>
      <c r="X44" s="28"/>
      <c r="Y44" s="28"/>
      <c r="Z44" s="28"/>
      <c r="AA44" s="25">
        <v>4</v>
      </c>
      <c r="AB44" s="28"/>
      <c r="AC44" s="28"/>
      <c r="AD44" s="28"/>
      <c r="AE44" s="25">
        <v>2</v>
      </c>
      <c r="AF44" s="28"/>
      <c r="AG44" s="28"/>
      <c r="AH44" s="28"/>
      <c r="AI44" s="28"/>
      <c r="AJ44" s="25">
        <v>1</v>
      </c>
      <c r="AK44" s="25">
        <v>2</v>
      </c>
      <c r="AL44" s="28"/>
      <c r="AM44" s="28"/>
      <c r="AN44" s="28"/>
      <c r="AO44" s="28"/>
      <c r="AP44" s="25">
        <v>7</v>
      </c>
      <c r="AQ44" t="s" s="27">
        <v>165</v>
      </c>
      <c r="AR44" s="28"/>
      <c r="AS44" s="25">
        <v>2</v>
      </c>
      <c r="AT44" s="28"/>
      <c r="AU44" s="28"/>
      <c r="AV44" s="28"/>
      <c r="AW44" s="28"/>
      <c r="AX44" s="28"/>
      <c r="AY44" s="28"/>
      <c r="AZ44" s="28"/>
      <c r="BA44" s="28"/>
      <c r="BB44" s="25">
        <v>3</v>
      </c>
      <c r="BC44" s="28"/>
      <c r="BD44" s="28"/>
      <c r="BE44" s="28"/>
    </row>
    <row r="45" ht="13.55" customHeight="1">
      <c r="A45" s="25">
        <v>6600676073</v>
      </c>
      <c r="B45" s="25">
        <v>167721399</v>
      </c>
      <c r="C45" s="26">
        <v>43092.868495370371</v>
      </c>
      <c r="D45" s="26">
        <v>43092.869490740741</v>
      </c>
      <c r="E45" t="s" s="27">
        <v>166</v>
      </c>
      <c r="F45" s="28"/>
      <c r="G45" s="28"/>
      <c r="H45" s="28"/>
      <c r="I45" s="28"/>
      <c r="J45" s="28"/>
      <c r="K45" s="25">
        <v>2</v>
      </c>
      <c r="L45" s="28"/>
      <c r="M45" s="28"/>
      <c r="N45" s="28"/>
      <c r="O45" s="28"/>
      <c r="P45" s="25">
        <v>1</v>
      </c>
      <c r="Q45" s="28"/>
      <c r="R45" s="25">
        <v>1</v>
      </c>
      <c r="S45" s="28"/>
      <c r="T45" s="28"/>
      <c r="U45" s="28"/>
      <c r="V45" s="28"/>
      <c r="W45" s="28"/>
      <c r="X45" s="28"/>
      <c r="Y45" s="28"/>
      <c r="Z45" s="25">
        <v>3</v>
      </c>
      <c r="AA45" s="28"/>
      <c r="AB45" s="28"/>
      <c r="AC45" s="28"/>
      <c r="AD45" s="28"/>
      <c r="AE45" s="25">
        <v>2</v>
      </c>
      <c r="AF45" s="28"/>
      <c r="AG45" s="28"/>
      <c r="AH45" s="28"/>
      <c r="AI45" s="28"/>
      <c r="AJ45" s="25">
        <v>1</v>
      </c>
      <c r="AK45" s="28"/>
      <c r="AL45" s="28"/>
      <c r="AM45" s="28"/>
      <c r="AN45" s="28"/>
      <c r="AO45" s="25">
        <v>6</v>
      </c>
      <c r="AP45" s="28"/>
      <c r="AQ45" t="s" s="27">
        <v>167</v>
      </c>
      <c r="AR45" s="25">
        <v>1</v>
      </c>
      <c r="AS45" s="28"/>
      <c r="AT45" s="28"/>
      <c r="AU45" s="28"/>
      <c r="AV45" s="28"/>
      <c r="AW45" s="28"/>
      <c r="AX45" s="28"/>
      <c r="AY45" s="28"/>
      <c r="AZ45" s="28"/>
      <c r="BA45" s="28"/>
      <c r="BB45" s="25">
        <v>3</v>
      </c>
      <c r="BC45" s="28"/>
      <c r="BD45" s="28"/>
      <c r="BE45" s="28"/>
    </row>
    <row r="46" ht="13.55" customHeight="1">
      <c r="A46" s="25">
        <v>6600670410</v>
      </c>
      <c r="B46" s="25">
        <v>167721399</v>
      </c>
      <c r="C46" s="26">
        <v>43092.856168981481</v>
      </c>
      <c r="D46" s="26">
        <v>43092.856851851851</v>
      </c>
      <c r="E46" t="s" s="27">
        <v>168</v>
      </c>
      <c r="F46" s="28"/>
      <c r="G46" s="28"/>
      <c r="H46" s="28"/>
      <c r="I46" s="28"/>
      <c r="J46" s="28"/>
      <c r="K46" s="25">
        <v>2</v>
      </c>
      <c r="L46" s="28"/>
      <c r="M46" s="28"/>
      <c r="N46" s="28"/>
      <c r="O46" s="28"/>
      <c r="P46" s="25">
        <v>1</v>
      </c>
      <c r="Q46" s="28"/>
      <c r="R46" s="28"/>
      <c r="S46" s="25">
        <v>2</v>
      </c>
      <c r="T46" s="28"/>
      <c r="U46" s="28"/>
      <c r="V46" s="28"/>
      <c r="W46" s="28"/>
      <c r="X46" s="28"/>
      <c r="Y46" s="25">
        <v>2</v>
      </c>
      <c r="Z46" s="28"/>
      <c r="AA46" s="28"/>
      <c r="AB46" s="28"/>
      <c r="AC46" s="28"/>
      <c r="AD46" s="25">
        <v>1</v>
      </c>
      <c r="AE46" s="28"/>
      <c r="AF46" s="28"/>
      <c r="AG46" s="28"/>
      <c r="AH46" s="28"/>
      <c r="AI46" s="28"/>
      <c r="AJ46" s="28"/>
      <c r="AK46" s="25">
        <v>2</v>
      </c>
      <c r="AL46" s="28"/>
      <c r="AM46" s="28"/>
      <c r="AN46" s="28"/>
      <c r="AO46" s="28"/>
      <c r="AP46" s="28"/>
      <c r="AQ46" t="s" s="27">
        <v>169</v>
      </c>
      <c r="AR46" s="25">
        <v>1</v>
      </c>
      <c r="AS46" s="28"/>
      <c r="AT46" s="28"/>
      <c r="AU46" s="28"/>
      <c r="AV46" s="28"/>
      <c r="AW46" s="28"/>
      <c r="AX46" s="28"/>
      <c r="AY46" s="28"/>
      <c r="AZ46" s="28"/>
      <c r="BA46" s="28"/>
      <c r="BB46" s="25">
        <v>3</v>
      </c>
      <c r="BC46" s="28"/>
      <c r="BD46" s="28"/>
      <c r="BE46" s="28"/>
    </row>
    <row r="47" ht="13.55" customHeight="1">
      <c r="A47" s="25">
        <v>6600666968</v>
      </c>
      <c r="B47" s="25">
        <v>167721399</v>
      </c>
      <c r="C47" s="26">
        <v>43092.848310185182</v>
      </c>
      <c r="D47" s="26">
        <v>43092.849293981482</v>
      </c>
      <c r="E47" t="s" s="27">
        <v>170</v>
      </c>
      <c r="F47" s="28"/>
      <c r="G47" s="28"/>
      <c r="H47" s="28"/>
      <c r="I47" s="28"/>
      <c r="J47" s="25">
        <v>1</v>
      </c>
      <c r="K47" s="28"/>
      <c r="L47" s="28"/>
      <c r="M47" s="28"/>
      <c r="N47" s="28"/>
      <c r="O47" s="28"/>
      <c r="P47" s="25">
        <v>1</v>
      </c>
      <c r="Q47" s="28"/>
      <c r="R47" s="25">
        <v>1</v>
      </c>
      <c r="S47" s="28"/>
      <c r="T47" s="28"/>
      <c r="U47" s="28"/>
      <c r="V47" s="28"/>
      <c r="W47" s="28"/>
      <c r="X47" s="28"/>
      <c r="Y47" s="25">
        <v>2</v>
      </c>
      <c r="Z47" s="28"/>
      <c r="AA47" s="28"/>
      <c r="AB47" s="28"/>
      <c r="AC47" s="28"/>
      <c r="AD47" s="28"/>
      <c r="AE47" s="25">
        <v>2</v>
      </c>
      <c r="AF47" s="28"/>
      <c r="AG47" s="28"/>
      <c r="AH47" s="28"/>
      <c r="AI47" s="28"/>
      <c r="AJ47" s="25">
        <v>1</v>
      </c>
      <c r="AK47" s="25">
        <v>2</v>
      </c>
      <c r="AL47" s="28"/>
      <c r="AM47" s="28"/>
      <c r="AN47" s="28"/>
      <c r="AO47" s="28"/>
      <c r="AP47" s="28"/>
      <c r="AQ47" t="s" s="27">
        <v>171</v>
      </c>
      <c r="AR47" s="25">
        <v>1</v>
      </c>
      <c r="AS47" s="28"/>
      <c r="AT47" s="28"/>
      <c r="AU47" s="28"/>
      <c r="AV47" s="28"/>
      <c r="AW47" s="28"/>
      <c r="AX47" s="28"/>
      <c r="AY47" s="28"/>
      <c r="AZ47" s="28"/>
      <c r="BA47" s="28"/>
      <c r="BB47" s="25">
        <v>3</v>
      </c>
      <c r="BC47" s="28"/>
      <c r="BD47" s="28"/>
      <c r="BE47" s="28"/>
    </row>
    <row r="48" ht="13.55" customHeight="1">
      <c r="A48" s="25">
        <v>6600632329</v>
      </c>
      <c r="B48" s="25">
        <v>167721399</v>
      </c>
      <c r="C48" s="26">
        <v>43092.775497685187</v>
      </c>
      <c r="D48" s="26">
        <v>43092.777395833327</v>
      </c>
      <c r="E48" t="s" s="27">
        <v>172</v>
      </c>
      <c r="F48" s="28"/>
      <c r="G48" s="28"/>
      <c r="H48" s="28"/>
      <c r="I48" s="28"/>
      <c r="J48" s="28"/>
      <c r="K48" s="28"/>
      <c r="L48" s="25">
        <v>3</v>
      </c>
      <c r="M48" s="28"/>
      <c r="N48" s="28"/>
      <c r="O48" s="28"/>
      <c r="P48" s="25">
        <v>1</v>
      </c>
      <c r="Q48" s="28"/>
      <c r="R48" s="28"/>
      <c r="S48" s="28"/>
      <c r="T48" s="28"/>
      <c r="U48" s="28"/>
      <c r="V48" s="25">
        <v>5</v>
      </c>
      <c r="W48" s="28"/>
      <c r="X48" s="28"/>
      <c r="Y48" s="28"/>
      <c r="Z48" s="28"/>
      <c r="AA48" s="28"/>
      <c r="AB48" s="25">
        <v>5</v>
      </c>
      <c r="AC48" s="28"/>
      <c r="AD48" s="28"/>
      <c r="AE48" s="28"/>
      <c r="AF48" s="28"/>
      <c r="AG48" s="25">
        <v>4</v>
      </c>
      <c r="AH48" s="28"/>
      <c r="AI48" s="28"/>
      <c r="AJ48" s="25">
        <v>1</v>
      </c>
      <c r="AK48" s="25">
        <v>2</v>
      </c>
      <c r="AL48" s="28"/>
      <c r="AM48" s="28"/>
      <c r="AN48" s="28"/>
      <c r="AO48" s="25">
        <v>6</v>
      </c>
      <c r="AP48" s="28"/>
      <c r="AQ48" t="s" s="27">
        <v>173</v>
      </c>
      <c r="AR48" s="28"/>
      <c r="AS48" s="28"/>
      <c r="AT48" s="25">
        <v>3</v>
      </c>
      <c r="AU48" s="28"/>
      <c r="AV48" s="28"/>
      <c r="AW48" s="28"/>
      <c r="AX48" s="28"/>
      <c r="AY48" s="28"/>
      <c r="AZ48" s="28"/>
      <c r="BA48" s="28"/>
      <c r="BB48" s="28"/>
      <c r="BC48" s="25">
        <v>4</v>
      </c>
      <c r="BD48" s="28"/>
      <c r="BE48" s="28"/>
    </row>
    <row r="49" ht="13.55" customHeight="1">
      <c r="A49" s="25">
        <v>6600620258</v>
      </c>
      <c r="B49" s="25">
        <v>167721399</v>
      </c>
      <c r="C49" s="26">
        <v>43092.752418981479</v>
      </c>
      <c r="D49" s="26">
        <v>43092.753680555557</v>
      </c>
      <c r="E49" t="s" s="27">
        <v>174</v>
      </c>
      <c r="F49" s="28"/>
      <c r="G49" s="28"/>
      <c r="H49" s="28"/>
      <c r="I49" s="28"/>
      <c r="J49" s="28"/>
      <c r="K49" s="28"/>
      <c r="L49" s="25">
        <v>3</v>
      </c>
      <c r="M49" s="28"/>
      <c r="N49" s="28"/>
      <c r="O49" s="28"/>
      <c r="P49" s="25">
        <v>1</v>
      </c>
      <c r="Q49" s="28"/>
      <c r="R49" s="28"/>
      <c r="S49" s="28"/>
      <c r="T49" s="28"/>
      <c r="U49" s="28"/>
      <c r="V49" s="25">
        <v>5</v>
      </c>
      <c r="W49" s="28"/>
      <c r="X49" s="28"/>
      <c r="Y49" s="28"/>
      <c r="Z49" s="28"/>
      <c r="AA49" s="25">
        <v>4</v>
      </c>
      <c r="AB49" s="28"/>
      <c r="AC49" s="28"/>
      <c r="AD49" s="28"/>
      <c r="AE49" s="28"/>
      <c r="AF49" s="25">
        <v>3</v>
      </c>
      <c r="AG49" s="28"/>
      <c r="AH49" s="28"/>
      <c r="AI49" s="28"/>
      <c r="AJ49" s="25">
        <v>1</v>
      </c>
      <c r="AK49" s="28"/>
      <c r="AL49" s="28"/>
      <c r="AM49" s="28"/>
      <c r="AN49" s="28"/>
      <c r="AO49" s="25">
        <v>6</v>
      </c>
      <c r="AP49" s="28"/>
      <c r="AQ49" t="s" s="27">
        <v>175</v>
      </c>
      <c r="AR49" s="28"/>
      <c r="AS49" s="28"/>
      <c r="AT49" s="25">
        <v>3</v>
      </c>
      <c r="AU49" s="28"/>
      <c r="AV49" s="28"/>
      <c r="AW49" s="28"/>
      <c r="AX49" s="28"/>
      <c r="AY49" s="28"/>
      <c r="AZ49" s="28"/>
      <c r="BA49" s="28"/>
      <c r="BB49" s="25">
        <v>3</v>
      </c>
      <c r="BC49" s="28"/>
      <c r="BD49" s="28"/>
      <c r="BE49" s="28"/>
    </row>
    <row r="50" ht="13.55" customHeight="1">
      <c r="A50" s="25">
        <v>6600561021</v>
      </c>
      <c r="B50" s="25">
        <v>167721399</v>
      </c>
      <c r="C50" s="26">
        <v>43092.650625</v>
      </c>
      <c r="D50" s="26">
        <v>43092.651215277780</v>
      </c>
      <c r="E50" t="s" s="27">
        <v>176</v>
      </c>
      <c r="F50" s="28"/>
      <c r="G50" s="28"/>
      <c r="H50" s="28"/>
      <c r="I50" s="28"/>
      <c r="J50" s="28"/>
      <c r="K50" s="25">
        <v>2</v>
      </c>
      <c r="L50" s="28"/>
      <c r="M50" s="28"/>
      <c r="N50" s="28"/>
      <c r="O50" s="28"/>
      <c r="P50" s="25">
        <v>1</v>
      </c>
      <c r="Q50" s="28"/>
      <c r="R50" s="28"/>
      <c r="S50" s="25">
        <v>2</v>
      </c>
      <c r="T50" s="28"/>
      <c r="U50" s="28"/>
      <c r="V50" s="28"/>
      <c r="W50" s="28"/>
      <c r="X50" s="28"/>
      <c r="Y50" s="28"/>
      <c r="Z50" s="28"/>
      <c r="AA50" s="25">
        <v>4</v>
      </c>
      <c r="AB50" s="28"/>
      <c r="AC50" s="28"/>
      <c r="AD50" s="28"/>
      <c r="AE50" s="28"/>
      <c r="AF50" s="25">
        <v>3</v>
      </c>
      <c r="AG50" s="28"/>
      <c r="AH50" s="28"/>
      <c r="AI50" s="28"/>
      <c r="AJ50" s="28"/>
      <c r="AK50" s="25">
        <v>2</v>
      </c>
      <c r="AL50" s="28"/>
      <c r="AM50" s="28"/>
      <c r="AN50" s="28"/>
      <c r="AO50" s="28"/>
      <c r="AP50" s="28"/>
      <c r="AQ50" t="s" s="27">
        <v>177</v>
      </c>
      <c r="AR50" s="28"/>
      <c r="AS50" s="28"/>
      <c r="AT50" s="25">
        <v>3</v>
      </c>
      <c r="AU50" s="28"/>
      <c r="AV50" s="28"/>
      <c r="AW50" s="28"/>
      <c r="AX50" s="28"/>
      <c r="AY50" s="28"/>
      <c r="AZ50" s="28"/>
      <c r="BA50" s="28"/>
      <c r="BB50" s="28"/>
      <c r="BC50" s="25">
        <v>4</v>
      </c>
      <c r="BD50" s="28"/>
      <c r="BE50" s="28"/>
    </row>
    <row r="51" ht="13.55" customHeight="1">
      <c r="A51" s="25">
        <v>6600548995</v>
      </c>
      <c r="B51" s="25">
        <v>167721399</v>
      </c>
      <c r="C51" s="26">
        <v>43092.632060185177</v>
      </c>
      <c r="D51" s="26">
        <v>43092.633217592593</v>
      </c>
      <c r="E51" t="s" s="27">
        <v>178</v>
      </c>
      <c r="F51" s="28"/>
      <c r="G51" s="28"/>
      <c r="H51" s="28"/>
      <c r="I51" s="28"/>
      <c r="J51" s="28"/>
      <c r="K51" s="25">
        <v>2</v>
      </c>
      <c r="L51" s="28"/>
      <c r="M51" s="28"/>
      <c r="N51" s="28"/>
      <c r="O51" s="28"/>
      <c r="P51" s="25">
        <v>1</v>
      </c>
      <c r="Q51" s="28"/>
      <c r="R51" s="25">
        <v>1</v>
      </c>
      <c r="S51" s="28"/>
      <c r="T51" s="28"/>
      <c r="U51" s="28"/>
      <c r="V51" s="28"/>
      <c r="W51" s="28"/>
      <c r="X51" s="28"/>
      <c r="Y51" s="25">
        <v>2</v>
      </c>
      <c r="Z51" s="28"/>
      <c r="AA51" s="28"/>
      <c r="AB51" s="28"/>
      <c r="AC51" s="28"/>
      <c r="AD51" s="28"/>
      <c r="AE51" s="25">
        <v>2</v>
      </c>
      <c r="AF51" s="28"/>
      <c r="AG51" s="28"/>
      <c r="AH51" s="28"/>
      <c r="AI51" s="28"/>
      <c r="AJ51" s="25">
        <v>1</v>
      </c>
      <c r="AK51" s="25">
        <v>2</v>
      </c>
      <c r="AL51" s="28"/>
      <c r="AM51" s="28"/>
      <c r="AN51" s="25">
        <v>5</v>
      </c>
      <c r="AO51" s="28"/>
      <c r="AP51" s="28"/>
      <c r="AQ51" t="s" s="27">
        <v>179</v>
      </c>
      <c r="AR51" s="28"/>
      <c r="AS51" s="28"/>
      <c r="AT51" s="25">
        <v>3</v>
      </c>
      <c r="AU51" s="28"/>
      <c r="AV51" s="28"/>
      <c r="AW51" s="28"/>
      <c r="AX51" s="28"/>
      <c r="AY51" s="28"/>
      <c r="AZ51" s="28"/>
      <c r="BA51" s="28"/>
      <c r="BB51" s="25">
        <v>3</v>
      </c>
      <c r="BC51" s="28"/>
      <c r="BD51" s="28"/>
      <c r="BE51" s="28"/>
    </row>
    <row r="52" ht="13.55" customHeight="1">
      <c r="A52" s="25">
        <v>6600543051</v>
      </c>
      <c r="B52" s="25">
        <v>167721399</v>
      </c>
      <c r="C52" s="26">
        <v>43092.624837962961</v>
      </c>
      <c r="D52" s="26">
        <v>43092.625949074078</v>
      </c>
      <c r="E52" t="s" s="27">
        <v>180</v>
      </c>
      <c r="F52" s="28"/>
      <c r="G52" s="28"/>
      <c r="H52" s="28"/>
      <c r="I52" s="28"/>
      <c r="J52" s="28"/>
      <c r="K52" s="28"/>
      <c r="L52" s="25">
        <v>3</v>
      </c>
      <c r="M52" s="28"/>
      <c r="N52" s="28"/>
      <c r="O52" s="28"/>
      <c r="P52" s="25">
        <v>1</v>
      </c>
      <c r="Q52" s="28"/>
      <c r="R52" s="25">
        <v>1</v>
      </c>
      <c r="S52" s="28"/>
      <c r="T52" s="28"/>
      <c r="U52" s="28"/>
      <c r="V52" s="28"/>
      <c r="W52" s="28"/>
      <c r="X52" s="28"/>
      <c r="Y52" s="25">
        <v>2</v>
      </c>
      <c r="Z52" s="28"/>
      <c r="AA52" s="28"/>
      <c r="AB52" s="28"/>
      <c r="AC52" s="28"/>
      <c r="AD52" s="28"/>
      <c r="AE52" s="25">
        <v>2</v>
      </c>
      <c r="AF52" s="28"/>
      <c r="AG52" s="28"/>
      <c r="AH52" s="28"/>
      <c r="AI52" s="28"/>
      <c r="AJ52" s="25">
        <v>1</v>
      </c>
      <c r="AK52" s="25">
        <v>2</v>
      </c>
      <c r="AL52" s="25">
        <v>3</v>
      </c>
      <c r="AM52" s="28"/>
      <c r="AN52" s="25">
        <v>5</v>
      </c>
      <c r="AO52" s="25">
        <v>6</v>
      </c>
      <c r="AP52" s="28"/>
      <c r="AQ52" t="s" s="27">
        <v>181</v>
      </c>
      <c r="AR52" s="28"/>
      <c r="AS52" s="28"/>
      <c r="AT52" s="28"/>
      <c r="AU52" s="28"/>
      <c r="AV52" s="28"/>
      <c r="AW52" s="28"/>
      <c r="AX52" s="28"/>
      <c r="AY52" s="25">
        <v>8</v>
      </c>
      <c r="AZ52" s="28"/>
      <c r="BA52" s="28"/>
      <c r="BB52" s="28"/>
      <c r="BC52" s="25">
        <v>4</v>
      </c>
      <c r="BD52" s="28"/>
      <c r="BE52" s="28"/>
    </row>
    <row r="53" ht="13.55" customHeight="1">
      <c r="A53" s="25">
        <v>6600523504</v>
      </c>
      <c r="B53" s="25">
        <v>167721399</v>
      </c>
      <c r="C53" s="26">
        <v>43092.596585648149</v>
      </c>
      <c r="D53" s="26">
        <v>43092.597835648150</v>
      </c>
      <c r="E53" t="s" s="27">
        <v>182</v>
      </c>
      <c r="F53" s="28"/>
      <c r="G53" s="28"/>
      <c r="H53" s="28"/>
      <c r="I53" s="28"/>
      <c r="J53" s="28"/>
      <c r="K53" s="25">
        <v>2</v>
      </c>
      <c r="L53" s="28"/>
      <c r="M53" s="28"/>
      <c r="N53" s="28"/>
      <c r="O53" s="28"/>
      <c r="P53" s="25">
        <v>1</v>
      </c>
      <c r="Q53" s="28"/>
      <c r="R53" s="28"/>
      <c r="S53" s="28"/>
      <c r="T53" s="25">
        <v>3</v>
      </c>
      <c r="U53" s="28"/>
      <c r="V53" s="28"/>
      <c r="W53" s="28"/>
      <c r="X53" s="28"/>
      <c r="Y53" s="28"/>
      <c r="Z53" s="28"/>
      <c r="AA53" s="25">
        <v>4</v>
      </c>
      <c r="AB53" s="28"/>
      <c r="AC53" s="28"/>
      <c r="AD53" s="28"/>
      <c r="AE53" s="28"/>
      <c r="AF53" s="25">
        <v>3</v>
      </c>
      <c r="AG53" s="28"/>
      <c r="AH53" s="28"/>
      <c r="AI53" s="28"/>
      <c r="AJ53" s="25">
        <v>1</v>
      </c>
      <c r="AK53" s="25">
        <v>2</v>
      </c>
      <c r="AL53" s="28"/>
      <c r="AM53" s="28"/>
      <c r="AN53" s="28"/>
      <c r="AO53" s="25">
        <v>6</v>
      </c>
      <c r="AP53" s="28"/>
      <c r="AQ53" t="s" s="27">
        <v>183</v>
      </c>
      <c r="AR53" s="25">
        <v>1</v>
      </c>
      <c r="AS53" s="28"/>
      <c r="AT53" s="28"/>
      <c r="AU53" s="28"/>
      <c r="AV53" s="28"/>
      <c r="AW53" s="28"/>
      <c r="AX53" s="28"/>
      <c r="AY53" s="28"/>
      <c r="AZ53" s="28"/>
      <c r="BA53" s="28"/>
      <c r="BB53" s="28"/>
      <c r="BC53" s="25">
        <v>4</v>
      </c>
      <c r="BD53" s="28"/>
      <c r="BE53" s="28"/>
    </row>
    <row r="54" ht="13.55" customHeight="1">
      <c r="A54" s="25">
        <v>6600518075</v>
      </c>
      <c r="B54" s="25">
        <v>167721399</v>
      </c>
      <c r="C54" s="26">
        <v>43092.587858796287</v>
      </c>
      <c r="D54" s="26">
        <v>43092.589965277781</v>
      </c>
      <c r="E54" t="s" s="27">
        <v>184</v>
      </c>
      <c r="F54" s="28"/>
      <c r="G54" s="28"/>
      <c r="H54" s="28"/>
      <c r="I54" s="28"/>
      <c r="J54" s="28"/>
      <c r="K54" s="28"/>
      <c r="L54" s="25">
        <v>3</v>
      </c>
      <c r="M54" s="28"/>
      <c r="N54" s="28"/>
      <c r="O54" s="28"/>
      <c r="P54" s="25">
        <v>1</v>
      </c>
      <c r="Q54" s="28"/>
      <c r="R54" s="28"/>
      <c r="S54" s="25">
        <v>2</v>
      </c>
      <c r="T54" s="28"/>
      <c r="U54" s="28"/>
      <c r="V54" s="28"/>
      <c r="W54" s="28"/>
      <c r="X54" s="28"/>
      <c r="Y54" s="28"/>
      <c r="Z54" s="25">
        <v>3</v>
      </c>
      <c r="AA54" s="28"/>
      <c r="AB54" s="28"/>
      <c r="AC54" s="28"/>
      <c r="AD54" s="28"/>
      <c r="AE54" s="25">
        <v>2</v>
      </c>
      <c r="AF54" s="28"/>
      <c r="AG54" s="28"/>
      <c r="AH54" s="28"/>
      <c r="AI54" s="28"/>
      <c r="AJ54" s="25">
        <v>1</v>
      </c>
      <c r="AK54" s="25">
        <v>2</v>
      </c>
      <c r="AL54" s="28"/>
      <c r="AM54" s="28"/>
      <c r="AN54" s="28"/>
      <c r="AO54" s="28"/>
      <c r="AP54" s="28"/>
      <c r="AQ54" t="s" s="27">
        <v>185</v>
      </c>
      <c r="AR54" s="28"/>
      <c r="AS54" s="25">
        <v>2</v>
      </c>
      <c r="AT54" s="28"/>
      <c r="AU54" s="28"/>
      <c r="AV54" s="28"/>
      <c r="AW54" s="28"/>
      <c r="AX54" s="28"/>
      <c r="AY54" s="28"/>
      <c r="AZ54" s="28"/>
      <c r="BA54" s="28"/>
      <c r="BB54" s="25">
        <v>3</v>
      </c>
      <c r="BC54" s="28"/>
      <c r="BD54" s="28"/>
      <c r="BE54" s="28"/>
    </row>
    <row r="55" ht="13.55" customHeight="1">
      <c r="A55" s="25">
        <v>6600517716</v>
      </c>
      <c r="B55" s="25">
        <v>167721399</v>
      </c>
      <c r="C55" s="26">
        <v>43092.571747685193</v>
      </c>
      <c r="D55" s="26">
        <v>43092.589432870373</v>
      </c>
      <c r="E55" t="s" s="27">
        <v>186</v>
      </c>
      <c r="F55" s="28"/>
      <c r="G55" s="28"/>
      <c r="H55" s="28"/>
      <c r="I55" s="28"/>
      <c r="J55" s="28"/>
      <c r="K55" s="25">
        <v>2</v>
      </c>
      <c r="L55" s="28"/>
      <c r="M55" s="28"/>
      <c r="N55" s="28"/>
      <c r="O55" s="28"/>
      <c r="P55" s="25">
        <v>1</v>
      </c>
      <c r="Q55" s="28"/>
      <c r="R55" s="28"/>
      <c r="S55" s="25">
        <v>2</v>
      </c>
      <c r="T55" s="28"/>
      <c r="U55" s="28"/>
      <c r="V55" s="28"/>
      <c r="W55" s="28"/>
      <c r="X55" s="28"/>
      <c r="Y55" s="25">
        <v>2</v>
      </c>
      <c r="Z55" s="28"/>
      <c r="AA55" s="28"/>
      <c r="AB55" s="28"/>
      <c r="AC55" s="28"/>
      <c r="AD55" s="25">
        <v>1</v>
      </c>
      <c r="AE55" s="28"/>
      <c r="AF55" s="28"/>
      <c r="AG55" s="28"/>
      <c r="AH55" s="28"/>
      <c r="AI55" s="28"/>
      <c r="AJ55" s="25">
        <v>1</v>
      </c>
      <c r="AK55" s="28"/>
      <c r="AL55" s="28"/>
      <c r="AM55" s="28"/>
      <c r="AN55" s="28"/>
      <c r="AO55" s="28"/>
      <c r="AP55" s="28"/>
      <c r="AQ55" t="s" s="27">
        <v>187</v>
      </c>
      <c r="AR55" s="28"/>
      <c r="AS55" s="28"/>
      <c r="AT55" s="25">
        <v>3</v>
      </c>
      <c r="AU55" s="28"/>
      <c r="AV55" s="28"/>
      <c r="AW55" s="28"/>
      <c r="AX55" s="28"/>
      <c r="AY55" s="28"/>
      <c r="AZ55" s="28"/>
      <c r="BA55" s="28"/>
      <c r="BB55" s="25">
        <v>3</v>
      </c>
      <c r="BC55" s="28"/>
      <c r="BD55" s="28"/>
      <c r="BE55" s="28"/>
    </row>
    <row r="56" ht="13.55" customHeight="1">
      <c r="A56" s="25">
        <v>6600509619</v>
      </c>
      <c r="B56" s="25">
        <v>167721399</v>
      </c>
      <c r="C56" s="26">
        <v>43092.576909722222</v>
      </c>
      <c r="D56" s="26">
        <v>43092.577650462961</v>
      </c>
      <c r="E56" t="s" s="27">
        <v>188</v>
      </c>
      <c r="F56" s="28"/>
      <c r="G56" s="28"/>
      <c r="H56" s="28"/>
      <c r="I56" s="28"/>
      <c r="J56" s="28"/>
      <c r="K56" s="25">
        <v>2</v>
      </c>
      <c r="L56" s="28"/>
      <c r="M56" s="28"/>
      <c r="N56" s="28"/>
      <c r="O56" s="28"/>
      <c r="P56" s="28"/>
      <c r="Q56" s="25">
        <v>2</v>
      </c>
      <c r="R56" s="28"/>
      <c r="S56" s="25">
        <v>2</v>
      </c>
      <c r="T56" s="28"/>
      <c r="U56" s="28"/>
      <c r="V56" s="28"/>
      <c r="W56" s="28"/>
      <c r="X56" s="28"/>
      <c r="Y56" s="25">
        <v>2</v>
      </c>
      <c r="Z56" s="28"/>
      <c r="AA56" s="28"/>
      <c r="AB56" s="28"/>
      <c r="AC56" s="28"/>
      <c r="AD56" s="25">
        <v>1</v>
      </c>
      <c r="AE56" s="28"/>
      <c r="AF56" s="28"/>
      <c r="AG56" s="28"/>
      <c r="AH56" s="28"/>
      <c r="AI56" s="28"/>
      <c r="AJ56" s="25">
        <v>1</v>
      </c>
      <c r="AK56" s="28"/>
      <c r="AL56" s="28"/>
      <c r="AM56" s="28"/>
      <c r="AN56" s="28"/>
      <c r="AO56" s="28"/>
      <c r="AP56" s="25">
        <v>7</v>
      </c>
      <c r="AQ56" t="s" s="27">
        <v>189</v>
      </c>
      <c r="AR56" s="28"/>
      <c r="AS56" s="28"/>
      <c r="AT56" s="28"/>
      <c r="AU56" s="25">
        <v>4</v>
      </c>
      <c r="AV56" s="28"/>
      <c r="AW56" s="28"/>
      <c r="AX56" s="28"/>
      <c r="AY56" s="28"/>
      <c r="AZ56" s="28"/>
      <c r="BA56" s="28"/>
      <c r="BB56" s="25">
        <v>3</v>
      </c>
      <c r="BC56" s="28"/>
      <c r="BD56" s="28"/>
      <c r="BE56" s="28"/>
    </row>
    <row r="57" ht="13.55" customHeight="1">
      <c r="A57" s="25">
        <v>6600491966</v>
      </c>
      <c r="B57" s="25">
        <v>167721399</v>
      </c>
      <c r="C57" s="26">
        <v>43092.548923611110</v>
      </c>
      <c r="D57" s="26">
        <v>43092.550902777781</v>
      </c>
      <c r="E57" t="s" s="27">
        <v>190</v>
      </c>
      <c r="F57" s="28"/>
      <c r="G57" s="28"/>
      <c r="H57" s="28"/>
      <c r="I57" s="28"/>
      <c r="J57" s="28"/>
      <c r="K57" s="28"/>
      <c r="L57" s="25">
        <v>3</v>
      </c>
      <c r="M57" s="28"/>
      <c r="N57" s="28"/>
      <c r="O57" s="28"/>
      <c r="P57" s="25">
        <v>1</v>
      </c>
      <c r="Q57" s="28"/>
      <c r="R57" s="28"/>
      <c r="S57" s="28"/>
      <c r="T57" s="28"/>
      <c r="U57" s="25">
        <v>4</v>
      </c>
      <c r="V57" s="28"/>
      <c r="W57" s="28"/>
      <c r="X57" s="28"/>
      <c r="Y57" s="25">
        <v>2</v>
      </c>
      <c r="Z57" s="28"/>
      <c r="AA57" s="28"/>
      <c r="AB57" s="28"/>
      <c r="AC57" s="28"/>
      <c r="AD57" s="25">
        <v>1</v>
      </c>
      <c r="AE57" s="28"/>
      <c r="AF57" s="28"/>
      <c r="AG57" s="28"/>
      <c r="AH57" s="28"/>
      <c r="AI57" s="28"/>
      <c r="AJ57" s="25">
        <v>1</v>
      </c>
      <c r="AK57" s="28"/>
      <c r="AL57" s="28"/>
      <c r="AM57" s="28"/>
      <c r="AN57" s="28"/>
      <c r="AO57" s="28"/>
      <c r="AP57" s="28"/>
      <c r="AQ57" t="s" s="27">
        <v>191</v>
      </c>
      <c r="AR57" s="28"/>
      <c r="AS57" s="28"/>
      <c r="AT57" s="28"/>
      <c r="AU57" s="25">
        <v>4</v>
      </c>
      <c r="AV57" s="28"/>
      <c r="AW57" s="28"/>
      <c r="AX57" s="28"/>
      <c r="AY57" s="28"/>
      <c r="AZ57" s="28"/>
      <c r="BA57" s="28"/>
      <c r="BB57" s="28"/>
      <c r="BC57" s="25">
        <v>4</v>
      </c>
      <c r="BD57" s="28"/>
      <c r="BE57" s="28"/>
    </row>
    <row r="58" ht="13.55" customHeight="1">
      <c r="A58" s="25">
        <v>6600477715</v>
      </c>
      <c r="B58" s="25">
        <v>167721399</v>
      </c>
      <c r="C58" s="26">
        <v>43092.5252662037</v>
      </c>
      <c r="D58" s="26">
        <v>43092.528518518520</v>
      </c>
      <c r="E58" t="s" s="27">
        <v>192</v>
      </c>
      <c r="F58" s="28"/>
      <c r="G58" s="28"/>
      <c r="H58" s="28"/>
      <c r="I58" s="28"/>
      <c r="J58" s="28"/>
      <c r="K58" s="28"/>
      <c r="L58" s="25">
        <v>3</v>
      </c>
      <c r="M58" s="28"/>
      <c r="N58" s="28"/>
      <c r="O58" s="28"/>
      <c r="P58" s="25">
        <v>1</v>
      </c>
      <c r="Q58" s="28"/>
      <c r="R58" s="28"/>
      <c r="S58" s="25">
        <v>2</v>
      </c>
      <c r="T58" s="28"/>
      <c r="U58" s="28"/>
      <c r="V58" s="28"/>
      <c r="W58" s="28"/>
      <c r="X58" s="25">
        <v>1</v>
      </c>
      <c r="Y58" s="28"/>
      <c r="Z58" s="28"/>
      <c r="AA58" s="28"/>
      <c r="AB58" s="28"/>
      <c r="AC58" s="28"/>
      <c r="AD58" s="28"/>
      <c r="AE58" s="28"/>
      <c r="AF58" s="25">
        <v>3</v>
      </c>
      <c r="AG58" s="28"/>
      <c r="AH58" s="28"/>
      <c r="AI58" s="28"/>
      <c r="AJ58" s="25">
        <v>1</v>
      </c>
      <c r="AK58" s="25">
        <v>2</v>
      </c>
      <c r="AL58" s="28"/>
      <c r="AM58" s="28"/>
      <c r="AN58" s="28"/>
      <c r="AO58" s="28"/>
      <c r="AP58" s="28"/>
      <c r="AQ58" t="s" s="27">
        <v>193</v>
      </c>
      <c r="AR58" s="28"/>
      <c r="AS58" s="25">
        <v>2</v>
      </c>
      <c r="AT58" s="28"/>
      <c r="AU58" s="28"/>
      <c r="AV58" s="28"/>
      <c r="AW58" s="28"/>
      <c r="AX58" s="28"/>
      <c r="AY58" s="28"/>
      <c r="AZ58" s="28"/>
      <c r="BA58" s="28"/>
      <c r="BB58" s="25">
        <v>3</v>
      </c>
      <c r="BC58" s="28"/>
      <c r="BD58" s="28"/>
      <c r="BE58" s="28"/>
    </row>
    <row r="59" ht="13.55" customHeight="1">
      <c r="A59" s="25">
        <v>6600475814</v>
      </c>
      <c r="B59" s="25">
        <v>167721399</v>
      </c>
      <c r="C59" s="26">
        <v>43092.524259259262</v>
      </c>
      <c r="D59" s="26">
        <v>43092.525625</v>
      </c>
      <c r="E59" t="s" s="27">
        <v>194</v>
      </c>
      <c r="F59" s="28"/>
      <c r="G59" s="28"/>
      <c r="H59" s="28"/>
      <c r="I59" s="28"/>
      <c r="J59" s="28"/>
      <c r="K59" s="25">
        <v>2</v>
      </c>
      <c r="L59" s="28"/>
      <c r="M59" s="28"/>
      <c r="N59" s="28"/>
      <c r="O59" s="28"/>
      <c r="P59" s="28"/>
      <c r="Q59" s="25">
        <v>2</v>
      </c>
      <c r="R59" s="25">
        <v>1</v>
      </c>
      <c r="S59" s="28"/>
      <c r="T59" s="28"/>
      <c r="U59" s="28"/>
      <c r="V59" s="28"/>
      <c r="W59" s="28"/>
      <c r="X59" s="28"/>
      <c r="Y59" s="25">
        <v>2</v>
      </c>
      <c r="Z59" s="28"/>
      <c r="AA59" s="28"/>
      <c r="AB59" s="28"/>
      <c r="AC59" s="28"/>
      <c r="AD59" s="25">
        <v>1</v>
      </c>
      <c r="AE59" s="28"/>
      <c r="AF59" s="28"/>
      <c r="AG59" s="28"/>
      <c r="AH59" s="28"/>
      <c r="AI59" s="28"/>
      <c r="AJ59" s="28"/>
      <c r="AK59" s="28"/>
      <c r="AL59" s="28"/>
      <c r="AM59" s="28"/>
      <c r="AN59" s="28"/>
      <c r="AO59" s="25">
        <v>6</v>
      </c>
      <c r="AP59" s="28"/>
      <c r="AQ59" t="s" s="27">
        <v>195</v>
      </c>
      <c r="AR59" s="28"/>
      <c r="AS59" s="28"/>
      <c r="AT59" s="25">
        <v>3</v>
      </c>
      <c r="AU59" s="28"/>
      <c r="AV59" s="28"/>
      <c r="AW59" s="28"/>
      <c r="AX59" s="28"/>
      <c r="AY59" s="28"/>
      <c r="AZ59" s="28"/>
      <c r="BA59" s="28"/>
      <c r="BB59" s="28"/>
      <c r="BC59" s="25">
        <v>4</v>
      </c>
      <c r="BD59" s="28"/>
      <c r="BE59" s="28"/>
    </row>
    <row r="60" ht="13.55" customHeight="1">
      <c r="A60" s="25">
        <v>6600472380</v>
      </c>
      <c r="B60" s="25">
        <v>167721399</v>
      </c>
      <c r="C60" s="26">
        <v>43092.517986111110</v>
      </c>
      <c r="D60" s="26">
        <v>43092.520196759258</v>
      </c>
      <c r="E60" t="s" s="27">
        <v>196</v>
      </c>
      <c r="F60" s="28"/>
      <c r="G60" s="28"/>
      <c r="H60" s="28"/>
      <c r="I60" s="28"/>
      <c r="J60" s="28"/>
      <c r="K60" s="28"/>
      <c r="L60" s="25">
        <v>3</v>
      </c>
      <c r="M60" s="28"/>
      <c r="N60" s="28"/>
      <c r="O60" s="28"/>
      <c r="P60" s="25">
        <v>1</v>
      </c>
      <c r="Q60" s="28"/>
      <c r="R60" s="28"/>
      <c r="S60" s="28"/>
      <c r="T60" s="25">
        <v>3</v>
      </c>
      <c r="U60" s="28"/>
      <c r="V60" s="28"/>
      <c r="W60" s="28"/>
      <c r="X60" s="28"/>
      <c r="Y60" s="25">
        <v>2</v>
      </c>
      <c r="Z60" s="28"/>
      <c r="AA60" s="28"/>
      <c r="AB60" s="28"/>
      <c r="AC60" s="28"/>
      <c r="AD60" s="28"/>
      <c r="AE60" s="25">
        <v>2</v>
      </c>
      <c r="AF60" s="28"/>
      <c r="AG60" s="28"/>
      <c r="AH60" s="28"/>
      <c r="AI60" s="28"/>
      <c r="AJ60" s="28"/>
      <c r="AK60" s="28"/>
      <c r="AL60" s="28"/>
      <c r="AM60" s="28"/>
      <c r="AN60" s="28"/>
      <c r="AO60" s="25">
        <v>6</v>
      </c>
      <c r="AP60" s="28"/>
      <c r="AQ60" t="s" s="27">
        <v>197</v>
      </c>
      <c r="AR60" s="28"/>
      <c r="AS60" s="28"/>
      <c r="AT60" s="28"/>
      <c r="AU60" s="25">
        <v>4</v>
      </c>
      <c r="AV60" s="28"/>
      <c r="AW60" s="28"/>
      <c r="AX60" s="28"/>
      <c r="AY60" s="28"/>
      <c r="AZ60" s="28"/>
      <c r="BA60" s="28"/>
      <c r="BB60" s="28"/>
      <c r="BC60" s="25">
        <v>4</v>
      </c>
      <c r="BD60" s="28"/>
      <c r="BE60" s="28"/>
    </row>
    <row r="61" ht="13.55" customHeight="1">
      <c r="A61" s="25">
        <v>6600461886</v>
      </c>
      <c r="B61" s="25">
        <v>167721399</v>
      </c>
      <c r="C61" s="26">
        <v>43092.503009259257</v>
      </c>
      <c r="D61" s="26">
        <v>43092.504537037043</v>
      </c>
      <c r="E61" t="s" s="27">
        <v>198</v>
      </c>
      <c r="F61" s="28"/>
      <c r="G61" s="28"/>
      <c r="H61" s="28"/>
      <c r="I61" s="28"/>
      <c r="J61" s="28"/>
      <c r="K61" s="25">
        <v>2</v>
      </c>
      <c r="L61" s="28"/>
      <c r="M61" s="28"/>
      <c r="N61" s="28"/>
      <c r="O61" s="28"/>
      <c r="P61" s="25">
        <v>1</v>
      </c>
      <c r="Q61" s="28"/>
      <c r="R61" s="25">
        <v>1</v>
      </c>
      <c r="S61" s="28"/>
      <c r="T61" s="28"/>
      <c r="U61" s="28"/>
      <c r="V61" s="28"/>
      <c r="W61" s="28"/>
      <c r="X61" s="28"/>
      <c r="Y61" s="28"/>
      <c r="Z61" s="25">
        <v>3</v>
      </c>
      <c r="AA61" s="28"/>
      <c r="AB61" s="28"/>
      <c r="AC61" s="28"/>
      <c r="AD61" s="28"/>
      <c r="AE61" s="25">
        <v>2</v>
      </c>
      <c r="AF61" s="28"/>
      <c r="AG61" s="28"/>
      <c r="AH61" s="28"/>
      <c r="AI61" s="28"/>
      <c r="AJ61" s="28"/>
      <c r="AK61" s="25">
        <v>2</v>
      </c>
      <c r="AL61" s="28"/>
      <c r="AM61" s="28"/>
      <c r="AN61" s="28"/>
      <c r="AO61" s="28"/>
      <c r="AP61" s="28"/>
      <c r="AQ61" t="s" s="27">
        <v>199</v>
      </c>
      <c r="AR61" s="28"/>
      <c r="AS61" s="28"/>
      <c r="AT61" s="25">
        <v>3</v>
      </c>
      <c r="AU61" s="28"/>
      <c r="AV61" s="28"/>
      <c r="AW61" s="28"/>
      <c r="AX61" s="28"/>
      <c r="AY61" s="28"/>
      <c r="AZ61" s="28"/>
      <c r="BA61" s="28"/>
      <c r="BB61" s="25">
        <v>3</v>
      </c>
      <c r="BC61" s="28"/>
      <c r="BD61" s="28"/>
      <c r="BE61" s="28"/>
    </row>
    <row r="62" ht="13.55" customHeight="1">
      <c r="A62" s="25">
        <v>6600453084</v>
      </c>
      <c r="B62" s="25">
        <v>167721399</v>
      </c>
      <c r="C62" s="26">
        <v>43092.483831018522</v>
      </c>
      <c r="D62" s="26">
        <v>43092.491435185177</v>
      </c>
      <c r="E62" t="s" s="27">
        <v>200</v>
      </c>
      <c r="F62" s="28"/>
      <c r="G62" s="28"/>
      <c r="H62" s="28"/>
      <c r="I62" s="28"/>
      <c r="J62" s="28"/>
      <c r="K62" s="25">
        <v>2</v>
      </c>
      <c r="L62" s="28"/>
      <c r="M62" s="28"/>
      <c r="N62" s="28"/>
      <c r="O62" s="28"/>
      <c r="P62" s="28"/>
      <c r="Q62" s="25">
        <v>2</v>
      </c>
      <c r="R62" s="28"/>
      <c r="S62" s="25">
        <v>2</v>
      </c>
      <c r="T62" s="28"/>
      <c r="U62" s="28"/>
      <c r="V62" s="28"/>
      <c r="W62" s="28"/>
      <c r="X62" s="28"/>
      <c r="Y62" s="25">
        <v>2</v>
      </c>
      <c r="Z62" s="28"/>
      <c r="AA62" s="28"/>
      <c r="AB62" s="28"/>
      <c r="AC62" s="28"/>
      <c r="AD62" s="25">
        <v>1</v>
      </c>
      <c r="AE62" s="28"/>
      <c r="AF62" s="28"/>
      <c r="AG62" s="28"/>
      <c r="AH62" s="28"/>
      <c r="AI62" s="28"/>
      <c r="AJ62" s="25">
        <v>1</v>
      </c>
      <c r="AK62" s="28"/>
      <c r="AL62" s="28"/>
      <c r="AM62" s="28"/>
      <c r="AN62" s="28"/>
      <c r="AO62" s="28"/>
      <c r="AP62" s="28"/>
      <c r="AQ62" t="s" s="27">
        <v>201</v>
      </c>
      <c r="AR62" s="28"/>
      <c r="AS62" s="28"/>
      <c r="AT62" s="25">
        <v>3</v>
      </c>
      <c r="AU62" s="28"/>
      <c r="AV62" s="28"/>
      <c r="AW62" s="28"/>
      <c r="AX62" s="28"/>
      <c r="AY62" s="28"/>
      <c r="AZ62" s="28"/>
      <c r="BA62" s="28"/>
      <c r="BB62" s="28"/>
      <c r="BC62" s="25">
        <v>4</v>
      </c>
      <c r="BD62" s="28"/>
      <c r="BE62" s="28"/>
    </row>
    <row r="63" ht="13.55" customHeight="1">
      <c r="A63" s="25">
        <v>6600445761</v>
      </c>
      <c r="B63" s="25">
        <v>167721399</v>
      </c>
      <c r="C63" s="26">
        <v>43092.479594907411</v>
      </c>
      <c r="D63" s="26">
        <v>43092.480497685188</v>
      </c>
      <c r="E63" t="s" s="27">
        <v>202</v>
      </c>
      <c r="F63" s="28"/>
      <c r="G63" s="28"/>
      <c r="H63" s="28"/>
      <c r="I63" s="28"/>
      <c r="J63" s="28"/>
      <c r="K63" s="28"/>
      <c r="L63" s="25">
        <v>3</v>
      </c>
      <c r="M63" s="28"/>
      <c r="N63" s="28"/>
      <c r="O63" s="28"/>
      <c r="P63" s="28"/>
      <c r="Q63" s="25">
        <v>2</v>
      </c>
      <c r="R63" s="28"/>
      <c r="S63" s="25">
        <v>2</v>
      </c>
      <c r="T63" s="28"/>
      <c r="U63" s="28"/>
      <c r="V63" s="28"/>
      <c r="W63" s="28"/>
      <c r="X63" s="28"/>
      <c r="Y63" s="28"/>
      <c r="Z63" s="28"/>
      <c r="AA63" s="25">
        <v>4</v>
      </c>
      <c r="AB63" s="28"/>
      <c r="AC63" s="28"/>
      <c r="AD63" s="28"/>
      <c r="AE63" s="25">
        <v>2</v>
      </c>
      <c r="AF63" s="28"/>
      <c r="AG63" s="28"/>
      <c r="AH63" s="28"/>
      <c r="AI63" s="28"/>
      <c r="AJ63" s="28"/>
      <c r="AK63" s="25">
        <v>2</v>
      </c>
      <c r="AL63" s="28"/>
      <c r="AM63" s="28"/>
      <c r="AN63" s="28"/>
      <c r="AO63" s="25">
        <v>6</v>
      </c>
      <c r="AP63" s="28"/>
      <c r="AQ63" t="s" s="27">
        <v>203</v>
      </c>
      <c r="AR63" s="28"/>
      <c r="AS63" s="28"/>
      <c r="AT63" s="28"/>
      <c r="AU63" s="25">
        <v>4</v>
      </c>
      <c r="AV63" s="28"/>
      <c r="AW63" s="28"/>
      <c r="AX63" s="28"/>
      <c r="AY63" s="28"/>
      <c r="AZ63" s="28"/>
      <c r="BA63" s="28"/>
      <c r="BB63" s="28"/>
      <c r="BC63" s="25">
        <v>4</v>
      </c>
      <c r="BD63" s="28"/>
      <c r="BE63" s="28"/>
    </row>
    <row r="64" ht="13.55" customHeight="1">
      <c r="A64" s="25">
        <v>6600439422</v>
      </c>
      <c r="B64" s="25">
        <v>167721399</v>
      </c>
      <c r="C64" s="26">
        <v>43092.468587962961</v>
      </c>
      <c r="D64" s="26">
        <v>43092.471030092587</v>
      </c>
      <c r="E64" t="s" s="27">
        <v>204</v>
      </c>
      <c r="F64" s="28"/>
      <c r="G64" s="28"/>
      <c r="H64" s="28"/>
      <c r="I64" s="28"/>
      <c r="J64" s="28"/>
      <c r="K64" s="28"/>
      <c r="L64" s="28"/>
      <c r="M64" s="28"/>
      <c r="N64" s="25">
        <v>5</v>
      </c>
      <c r="O64" s="28"/>
      <c r="P64" s="25">
        <v>1</v>
      </c>
      <c r="Q64" s="28"/>
      <c r="R64" s="28"/>
      <c r="S64" s="28"/>
      <c r="T64" s="28"/>
      <c r="U64" s="28"/>
      <c r="V64" s="28"/>
      <c r="W64" s="25">
        <v>6</v>
      </c>
      <c r="X64" s="28"/>
      <c r="Y64" s="28"/>
      <c r="Z64" s="25">
        <v>3</v>
      </c>
      <c r="AA64" s="28"/>
      <c r="AB64" s="28"/>
      <c r="AC64" s="28"/>
      <c r="AD64" s="25">
        <v>1</v>
      </c>
      <c r="AE64" s="28"/>
      <c r="AF64" s="28"/>
      <c r="AG64" s="28"/>
      <c r="AH64" s="28"/>
      <c r="AI64" s="28"/>
      <c r="AJ64" s="25">
        <v>1</v>
      </c>
      <c r="AK64" s="25">
        <v>2</v>
      </c>
      <c r="AL64" s="28"/>
      <c r="AM64" s="28"/>
      <c r="AN64" s="28"/>
      <c r="AO64" s="28"/>
      <c r="AP64" s="28"/>
      <c r="AQ64" t="s" s="27">
        <v>205</v>
      </c>
      <c r="AR64" s="28"/>
      <c r="AS64" s="28"/>
      <c r="AT64" s="28"/>
      <c r="AU64" s="25">
        <v>4</v>
      </c>
      <c r="AV64" s="28"/>
      <c r="AW64" s="28"/>
      <c r="AX64" s="28"/>
      <c r="AY64" s="28"/>
      <c r="AZ64" s="28"/>
      <c r="BA64" s="28"/>
      <c r="BB64" s="28"/>
      <c r="BC64" s="25">
        <v>4</v>
      </c>
      <c r="BD64" s="28"/>
      <c r="BE64" s="28"/>
    </row>
    <row r="65" ht="13.55" customHeight="1">
      <c r="A65" s="25">
        <v>6600428861</v>
      </c>
      <c r="B65" s="25">
        <v>167721399</v>
      </c>
      <c r="C65" s="26">
        <v>43092.4533912037</v>
      </c>
      <c r="D65" s="26">
        <v>43092.455474537041</v>
      </c>
      <c r="E65" t="s" s="27">
        <v>206</v>
      </c>
      <c r="F65" s="28"/>
      <c r="G65" s="28"/>
      <c r="H65" s="28"/>
      <c r="I65" s="28"/>
      <c r="J65" s="28"/>
      <c r="K65" s="25">
        <v>2</v>
      </c>
      <c r="L65" s="28"/>
      <c r="M65" s="28"/>
      <c r="N65" s="28"/>
      <c r="O65" s="28"/>
      <c r="P65" s="25">
        <v>1</v>
      </c>
      <c r="Q65" s="28"/>
      <c r="R65" s="28"/>
      <c r="S65" s="28"/>
      <c r="T65" s="28"/>
      <c r="U65" s="25">
        <v>4</v>
      </c>
      <c r="V65" s="28"/>
      <c r="W65" s="28"/>
      <c r="X65" s="28"/>
      <c r="Y65" s="28"/>
      <c r="Z65" s="25">
        <v>3</v>
      </c>
      <c r="AA65" s="28"/>
      <c r="AB65" s="28"/>
      <c r="AC65" s="28"/>
      <c r="AD65" s="28"/>
      <c r="AE65" s="25">
        <v>2</v>
      </c>
      <c r="AF65" s="28"/>
      <c r="AG65" s="28"/>
      <c r="AH65" s="28"/>
      <c r="AI65" s="28"/>
      <c r="AJ65" s="25">
        <v>1</v>
      </c>
      <c r="AK65" s="25">
        <v>2</v>
      </c>
      <c r="AL65" s="28"/>
      <c r="AM65" s="28"/>
      <c r="AN65" s="28"/>
      <c r="AO65" s="28"/>
      <c r="AP65" s="25">
        <v>7</v>
      </c>
      <c r="AQ65" t="s" s="27">
        <v>207</v>
      </c>
      <c r="AR65" s="28"/>
      <c r="AS65" s="28"/>
      <c r="AT65" s="25">
        <v>3</v>
      </c>
      <c r="AU65" s="28"/>
      <c r="AV65" s="28"/>
      <c r="AW65" s="28"/>
      <c r="AX65" s="28"/>
      <c r="AY65" s="28"/>
      <c r="AZ65" s="28"/>
      <c r="BA65" s="28"/>
      <c r="BB65" s="25">
        <v>3</v>
      </c>
      <c r="BC65" s="28"/>
      <c r="BD65" s="28"/>
      <c r="BE65" s="28"/>
    </row>
    <row r="66" ht="13.55" customHeight="1">
      <c r="A66" s="25">
        <v>6600410037</v>
      </c>
      <c r="B66" s="25">
        <v>167721399</v>
      </c>
      <c r="C66" s="26">
        <v>43092.427881944437</v>
      </c>
      <c r="D66" s="26">
        <v>43092.428611111107</v>
      </c>
      <c r="E66" t="s" s="27">
        <v>208</v>
      </c>
      <c r="F66" s="28"/>
      <c r="G66" s="28"/>
      <c r="H66" s="28"/>
      <c r="I66" s="28"/>
      <c r="J66" s="28"/>
      <c r="K66" s="28"/>
      <c r="L66" s="25">
        <v>3</v>
      </c>
      <c r="M66" s="28"/>
      <c r="N66" s="28"/>
      <c r="O66" s="28"/>
      <c r="P66" s="25">
        <v>1</v>
      </c>
      <c r="Q66" s="28"/>
      <c r="R66" s="28"/>
      <c r="S66" s="28"/>
      <c r="T66" s="28"/>
      <c r="U66" s="25">
        <v>4</v>
      </c>
      <c r="V66" s="28"/>
      <c r="W66" s="28"/>
      <c r="X66" s="28"/>
      <c r="Y66" s="25">
        <v>2</v>
      </c>
      <c r="Z66" s="28"/>
      <c r="AA66" s="28"/>
      <c r="AB66" s="28"/>
      <c r="AC66" s="28"/>
      <c r="AD66" s="25">
        <v>1</v>
      </c>
      <c r="AE66" s="28"/>
      <c r="AF66" s="28"/>
      <c r="AG66" s="28"/>
      <c r="AH66" s="28"/>
      <c r="AI66" s="28"/>
      <c r="AJ66" s="25">
        <v>1</v>
      </c>
      <c r="AK66" s="28"/>
      <c r="AL66" s="28"/>
      <c r="AM66" s="28"/>
      <c r="AN66" s="28"/>
      <c r="AO66" s="28"/>
      <c r="AP66" s="28"/>
      <c r="AQ66" t="s" s="27">
        <v>209</v>
      </c>
      <c r="AR66" s="28"/>
      <c r="AS66" s="25">
        <v>2</v>
      </c>
      <c r="AT66" s="28"/>
      <c r="AU66" s="28"/>
      <c r="AV66" s="28"/>
      <c r="AW66" s="28"/>
      <c r="AX66" s="28"/>
      <c r="AY66" s="28"/>
      <c r="AZ66" s="28"/>
      <c r="BA66" s="28"/>
      <c r="BB66" s="25">
        <v>3</v>
      </c>
      <c r="BC66" s="28"/>
      <c r="BD66" s="28"/>
      <c r="BE66" s="28"/>
    </row>
    <row r="67" ht="13.55" customHeight="1">
      <c r="A67" s="29">
        <v>6600407770</v>
      </c>
      <c r="B67" s="29">
        <v>167721399</v>
      </c>
      <c r="C67" s="30">
        <v>43092.424629629633</v>
      </c>
      <c r="D67" s="30">
        <v>43092.425451388888</v>
      </c>
      <c r="E67" t="s" s="31">
        <v>210</v>
      </c>
      <c r="F67" s="32"/>
      <c r="G67" s="32"/>
      <c r="H67" s="32"/>
      <c r="I67" s="32"/>
      <c r="J67" s="32"/>
      <c r="K67" s="32"/>
      <c r="L67" s="29">
        <v>3</v>
      </c>
      <c r="M67" s="32"/>
      <c r="N67" s="32"/>
      <c r="O67" s="32"/>
      <c r="P67" s="29">
        <v>1</v>
      </c>
      <c r="Q67" s="32"/>
      <c r="R67" s="32"/>
      <c r="S67" s="29">
        <v>2</v>
      </c>
      <c r="T67" s="32"/>
      <c r="U67" s="32"/>
      <c r="V67" s="32"/>
      <c r="W67" s="32"/>
      <c r="X67" s="32"/>
      <c r="Y67" s="32"/>
      <c r="Z67" s="32"/>
      <c r="AA67" s="29">
        <v>4</v>
      </c>
      <c r="AB67" s="32"/>
      <c r="AC67" s="32"/>
      <c r="AD67" s="32"/>
      <c r="AE67" s="32"/>
      <c r="AF67" s="29">
        <v>3</v>
      </c>
      <c r="AG67" s="32"/>
      <c r="AH67" s="32"/>
      <c r="AI67" s="32"/>
      <c r="AJ67" s="29">
        <v>1</v>
      </c>
      <c r="AK67" s="32"/>
      <c r="AL67" s="32"/>
      <c r="AM67" s="32"/>
      <c r="AN67" s="32"/>
      <c r="AO67" s="32"/>
      <c r="AP67" s="32"/>
      <c r="AQ67" t="s" s="31">
        <v>211</v>
      </c>
      <c r="AR67" s="32"/>
      <c r="AS67" s="32"/>
      <c r="AT67" s="32"/>
      <c r="AU67" s="32"/>
      <c r="AV67" s="32"/>
      <c r="AW67" s="32"/>
      <c r="AX67" s="32"/>
      <c r="AY67" s="29">
        <v>8</v>
      </c>
      <c r="AZ67" s="32"/>
      <c r="BA67" s="32"/>
      <c r="BB67" s="29">
        <v>3</v>
      </c>
      <c r="BC67" s="32"/>
      <c r="BD67" s="32"/>
      <c r="BE67" s="32"/>
    </row>
    <row r="68" ht="15" customHeight="1">
      <c r="A68" s="15">
        <v>6600407226</v>
      </c>
      <c r="B68" s="16">
        <v>167721399</v>
      </c>
      <c r="C68" s="17">
        <v>43092.423425925917</v>
      </c>
      <c r="D68" s="17">
        <v>43092.424756944441</v>
      </c>
      <c r="E68" t="s" s="18">
        <v>212</v>
      </c>
      <c r="F68" s="19"/>
      <c r="G68" s="19"/>
      <c r="H68" s="19"/>
      <c r="I68" s="19"/>
      <c r="J68" s="19"/>
      <c r="K68" s="16">
        <v>2</v>
      </c>
      <c r="L68" s="19"/>
      <c r="M68" s="19"/>
      <c r="N68" s="19"/>
      <c r="O68" s="19"/>
      <c r="P68" s="16">
        <v>1</v>
      </c>
      <c r="Q68" s="19"/>
      <c r="R68" s="19"/>
      <c r="S68" s="16">
        <v>2</v>
      </c>
      <c r="T68" s="19"/>
      <c r="U68" s="19"/>
      <c r="V68" s="19"/>
      <c r="W68" s="19"/>
      <c r="X68" s="19"/>
      <c r="Y68" s="16">
        <v>2</v>
      </c>
      <c r="Z68" s="19"/>
      <c r="AA68" s="19"/>
      <c r="AB68" s="19"/>
      <c r="AC68" s="19"/>
      <c r="AD68" s="19"/>
      <c r="AE68" s="16">
        <v>2</v>
      </c>
      <c r="AF68" s="19"/>
      <c r="AG68" s="19"/>
      <c r="AH68" s="19"/>
      <c r="AI68" s="19"/>
      <c r="AJ68" s="19"/>
      <c r="AK68" s="19"/>
      <c r="AL68" s="19"/>
      <c r="AM68" s="19"/>
      <c r="AN68" s="19"/>
      <c r="AO68" s="19"/>
      <c r="AP68" s="16">
        <v>7</v>
      </c>
      <c r="AQ68" t="s" s="18">
        <v>213</v>
      </c>
      <c r="AR68" s="19"/>
      <c r="AS68" s="19"/>
      <c r="AT68" s="16">
        <v>3</v>
      </c>
      <c r="AU68" s="19"/>
      <c r="AV68" s="19"/>
      <c r="AW68" s="19"/>
      <c r="AX68" s="19"/>
      <c r="AY68" s="19"/>
      <c r="AZ68" s="16">
        <v>1</v>
      </c>
      <c r="BA68" s="19"/>
      <c r="BB68" s="19"/>
      <c r="BC68" s="19"/>
      <c r="BD68" s="19"/>
      <c r="BE68" t="s" s="20">
        <v>214</v>
      </c>
    </row>
    <row r="69" ht="15" customHeight="1">
      <c r="A69" s="33">
        <v>6600402407</v>
      </c>
      <c r="B69" s="33">
        <v>167721399</v>
      </c>
      <c r="C69" s="33">
        <v>43092.4165856481</v>
      </c>
      <c r="D69" s="33">
        <v>43092.4180671296</v>
      </c>
      <c r="E69" t="s" s="34">
        <v>215</v>
      </c>
      <c r="F69" s="35"/>
      <c r="G69" s="35"/>
      <c r="H69" s="35"/>
      <c r="I69" s="35"/>
      <c r="J69" s="35"/>
      <c r="K69" s="33">
        <v>2</v>
      </c>
      <c r="L69" s="35"/>
      <c r="M69" s="35"/>
      <c r="N69" s="35"/>
      <c r="O69" s="35"/>
      <c r="P69" s="33">
        <v>1</v>
      </c>
      <c r="Q69" s="35"/>
      <c r="R69" s="35"/>
      <c r="S69" s="33">
        <v>2</v>
      </c>
      <c r="T69" s="35"/>
      <c r="U69" s="35"/>
      <c r="V69" s="35"/>
      <c r="W69" s="35"/>
      <c r="X69" s="35"/>
      <c r="Y69" s="35"/>
      <c r="Z69" s="33">
        <v>3</v>
      </c>
      <c r="AA69" s="35"/>
      <c r="AB69" s="35"/>
      <c r="AC69" s="35"/>
      <c r="AD69" s="35"/>
      <c r="AE69" s="35"/>
      <c r="AF69" s="33">
        <v>3</v>
      </c>
      <c r="AG69" s="35"/>
      <c r="AH69" s="35"/>
      <c r="AI69" s="35"/>
      <c r="AJ69" s="33">
        <v>1</v>
      </c>
      <c r="AK69" s="35"/>
      <c r="AL69" s="35"/>
      <c r="AM69" s="35"/>
      <c r="AN69" s="35"/>
      <c r="AO69" s="35"/>
      <c r="AP69" s="35"/>
      <c r="AQ69" t="s" s="34">
        <v>216</v>
      </c>
      <c r="AR69" s="35"/>
      <c r="AS69" s="35"/>
      <c r="AT69" s="35"/>
      <c r="AU69" s="35"/>
      <c r="AV69" s="35"/>
      <c r="AW69" s="35"/>
      <c r="AX69" s="35"/>
      <c r="AY69" s="15">
        <v>8</v>
      </c>
      <c r="AZ69" s="36"/>
      <c r="BA69" s="37"/>
      <c r="BB69" s="33">
        <v>3</v>
      </c>
      <c r="BC69" s="35"/>
      <c r="BD69" s="35"/>
      <c r="BE69" t="s" s="34">
        <v>217</v>
      </c>
    </row>
    <row r="70" ht="15" customHeight="1">
      <c r="A70" s="15">
        <v>6600379267</v>
      </c>
      <c r="B70" s="16">
        <v>167721399</v>
      </c>
      <c r="C70" s="17">
        <v>43092.386423611111</v>
      </c>
      <c r="D70" s="17">
        <v>43092.387777777767</v>
      </c>
      <c r="E70" t="s" s="18">
        <v>218</v>
      </c>
      <c r="F70" s="19"/>
      <c r="G70" s="19"/>
      <c r="H70" s="19"/>
      <c r="I70" s="19"/>
      <c r="J70" s="19"/>
      <c r="K70" s="19"/>
      <c r="L70" s="16">
        <v>3</v>
      </c>
      <c r="M70" s="19"/>
      <c r="N70" s="19"/>
      <c r="O70" s="19"/>
      <c r="P70" s="16">
        <v>1</v>
      </c>
      <c r="Q70" s="19"/>
      <c r="R70" s="19"/>
      <c r="S70" s="16">
        <v>2</v>
      </c>
      <c r="T70" s="19"/>
      <c r="U70" s="19"/>
      <c r="V70" s="19"/>
      <c r="W70" s="19"/>
      <c r="X70" s="19"/>
      <c r="Y70" s="16">
        <v>2</v>
      </c>
      <c r="Z70" s="19"/>
      <c r="AA70" s="19"/>
      <c r="AB70" s="19"/>
      <c r="AC70" s="19"/>
      <c r="AD70" s="16">
        <v>1</v>
      </c>
      <c r="AE70" s="19"/>
      <c r="AF70" s="19"/>
      <c r="AG70" s="19"/>
      <c r="AH70" s="19"/>
      <c r="AI70" s="19"/>
      <c r="AJ70" s="19"/>
      <c r="AK70" s="19"/>
      <c r="AL70" s="19"/>
      <c r="AM70" s="19"/>
      <c r="AN70" s="19"/>
      <c r="AO70" s="19"/>
      <c r="AP70" s="16">
        <v>7</v>
      </c>
      <c r="AQ70" t="s" s="18">
        <v>219</v>
      </c>
      <c r="AR70" s="19"/>
      <c r="AS70" s="19"/>
      <c r="AT70" s="16">
        <v>3</v>
      </c>
      <c r="AU70" s="19"/>
      <c r="AV70" s="19"/>
      <c r="AW70" s="19"/>
      <c r="AX70" s="19"/>
      <c r="AY70" s="19"/>
      <c r="AZ70" s="16">
        <v>1</v>
      </c>
      <c r="BA70" s="19"/>
      <c r="BB70" s="19"/>
      <c r="BC70" s="19"/>
      <c r="BD70" s="19"/>
      <c r="BE70" t="s" s="20">
        <v>220</v>
      </c>
    </row>
    <row r="71" ht="15" customHeight="1">
      <c r="A71" s="15">
        <v>6600378502</v>
      </c>
      <c r="B71" s="16">
        <v>167721399</v>
      </c>
      <c r="C71" s="17">
        <v>43092.385613425933</v>
      </c>
      <c r="D71" s="17">
        <v>43092.386840277781</v>
      </c>
      <c r="E71" t="s" s="18">
        <v>221</v>
      </c>
      <c r="F71" s="19"/>
      <c r="G71" s="19"/>
      <c r="H71" s="19"/>
      <c r="I71" s="19"/>
      <c r="J71" s="19"/>
      <c r="K71" s="16">
        <v>2</v>
      </c>
      <c r="L71" s="19"/>
      <c r="M71" s="19"/>
      <c r="N71" s="19"/>
      <c r="O71" s="19"/>
      <c r="P71" s="19"/>
      <c r="Q71" s="16">
        <v>2</v>
      </c>
      <c r="R71" s="19"/>
      <c r="S71" s="16">
        <v>2</v>
      </c>
      <c r="T71" s="19"/>
      <c r="U71" s="19"/>
      <c r="V71" s="19"/>
      <c r="W71" s="19"/>
      <c r="X71" s="19"/>
      <c r="Y71" s="16">
        <v>2</v>
      </c>
      <c r="Z71" s="19"/>
      <c r="AA71" s="19"/>
      <c r="AB71" s="19"/>
      <c r="AC71" s="19"/>
      <c r="AD71" s="19"/>
      <c r="AE71" s="16">
        <v>2</v>
      </c>
      <c r="AF71" s="19"/>
      <c r="AG71" s="19"/>
      <c r="AH71" s="19"/>
      <c r="AI71" s="19"/>
      <c r="AJ71" s="16">
        <v>1</v>
      </c>
      <c r="AK71" s="19"/>
      <c r="AL71" s="16">
        <v>3</v>
      </c>
      <c r="AM71" s="19"/>
      <c r="AN71" s="19"/>
      <c r="AO71" s="16">
        <v>6</v>
      </c>
      <c r="AP71" s="19"/>
      <c r="AQ71" t="s" s="18">
        <v>222</v>
      </c>
      <c r="AR71" s="19"/>
      <c r="AS71" s="16">
        <v>2</v>
      </c>
      <c r="AT71" s="19"/>
      <c r="AU71" s="19"/>
      <c r="AV71" s="19"/>
      <c r="AW71" s="19"/>
      <c r="AX71" s="19"/>
      <c r="AY71" s="19"/>
      <c r="AZ71" s="16">
        <v>1</v>
      </c>
      <c r="BA71" s="19"/>
      <c r="BB71" s="19"/>
      <c r="BC71" s="19"/>
      <c r="BD71" s="19"/>
      <c r="BE71" t="s" s="20">
        <v>223</v>
      </c>
    </row>
    <row r="72" ht="13.55" customHeight="1">
      <c r="A72" s="21">
        <v>6600342593</v>
      </c>
      <c r="B72" s="21">
        <v>167721399</v>
      </c>
      <c r="C72" s="22">
        <v>43092.342673611107</v>
      </c>
      <c r="D72" s="22">
        <v>43092.343553240738</v>
      </c>
      <c r="E72" t="s" s="23">
        <v>224</v>
      </c>
      <c r="F72" s="24"/>
      <c r="G72" s="24"/>
      <c r="H72" s="24"/>
      <c r="I72" s="24"/>
      <c r="J72" s="24"/>
      <c r="K72" s="21">
        <v>2</v>
      </c>
      <c r="L72" s="24"/>
      <c r="M72" s="24"/>
      <c r="N72" s="24"/>
      <c r="O72" s="24"/>
      <c r="P72" s="21">
        <v>1</v>
      </c>
      <c r="Q72" s="24"/>
      <c r="R72" s="24"/>
      <c r="S72" s="24"/>
      <c r="T72" s="24"/>
      <c r="U72" s="21">
        <v>4</v>
      </c>
      <c r="V72" s="24"/>
      <c r="W72" s="24"/>
      <c r="X72" s="24"/>
      <c r="Y72" s="24"/>
      <c r="Z72" s="24"/>
      <c r="AA72" s="21">
        <v>4</v>
      </c>
      <c r="AB72" s="24"/>
      <c r="AC72" s="24"/>
      <c r="AD72" s="24"/>
      <c r="AE72" s="21">
        <v>2</v>
      </c>
      <c r="AF72" s="24"/>
      <c r="AG72" s="24"/>
      <c r="AH72" s="24"/>
      <c r="AI72" s="24"/>
      <c r="AJ72" s="21">
        <v>1</v>
      </c>
      <c r="AK72" s="24"/>
      <c r="AL72" s="24"/>
      <c r="AM72" s="24"/>
      <c r="AN72" s="24"/>
      <c r="AO72" s="24"/>
      <c r="AP72" s="24"/>
      <c r="AQ72" t="s" s="23">
        <v>225</v>
      </c>
      <c r="AR72" s="24"/>
      <c r="AS72" s="24"/>
      <c r="AT72" s="21">
        <v>3</v>
      </c>
      <c r="AU72" s="24"/>
      <c r="AV72" s="24"/>
      <c r="AW72" s="24"/>
      <c r="AX72" s="24"/>
      <c r="AY72" s="24"/>
      <c r="AZ72" s="24"/>
      <c r="BA72" s="24"/>
      <c r="BB72" s="21">
        <v>3</v>
      </c>
      <c r="BC72" s="24"/>
      <c r="BD72" s="24"/>
      <c r="BE72" s="24"/>
    </row>
    <row r="73" ht="13.55" customHeight="1">
      <c r="A73" s="25">
        <v>6600318801</v>
      </c>
      <c r="B73" s="25">
        <v>167721399</v>
      </c>
      <c r="C73" s="26">
        <v>43092.312708333331</v>
      </c>
      <c r="D73" s="26">
        <v>43092.315648148149</v>
      </c>
      <c r="E73" t="s" s="27">
        <v>226</v>
      </c>
      <c r="F73" s="28"/>
      <c r="G73" s="28"/>
      <c r="H73" s="28"/>
      <c r="I73" s="28"/>
      <c r="J73" s="28"/>
      <c r="K73" s="25">
        <v>2</v>
      </c>
      <c r="L73" s="28"/>
      <c r="M73" s="28"/>
      <c r="N73" s="28"/>
      <c r="O73" s="28"/>
      <c r="P73" s="25">
        <v>1</v>
      </c>
      <c r="Q73" s="28"/>
      <c r="R73" s="28"/>
      <c r="S73" s="25">
        <v>2</v>
      </c>
      <c r="T73" s="28"/>
      <c r="U73" s="28"/>
      <c r="V73" s="28"/>
      <c r="W73" s="28"/>
      <c r="X73" s="28"/>
      <c r="Y73" s="28"/>
      <c r="Z73" s="25">
        <v>3</v>
      </c>
      <c r="AA73" s="28"/>
      <c r="AB73" s="28"/>
      <c r="AC73" s="28"/>
      <c r="AD73" s="28"/>
      <c r="AE73" s="25">
        <v>2</v>
      </c>
      <c r="AF73" s="28"/>
      <c r="AG73" s="28"/>
      <c r="AH73" s="28"/>
      <c r="AI73" s="28"/>
      <c r="AJ73" s="25">
        <v>1</v>
      </c>
      <c r="AK73" s="25">
        <v>2</v>
      </c>
      <c r="AL73" s="28"/>
      <c r="AM73" s="28"/>
      <c r="AN73" s="28"/>
      <c r="AO73" s="28"/>
      <c r="AP73" s="25">
        <v>7</v>
      </c>
      <c r="AQ73" t="s" s="27">
        <v>227</v>
      </c>
      <c r="AR73" s="28"/>
      <c r="AS73" s="25">
        <v>2</v>
      </c>
      <c r="AT73" s="28"/>
      <c r="AU73" s="28"/>
      <c r="AV73" s="28"/>
      <c r="AW73" s="28"/>
      <c r="AX73" s="28"/>
      <c r="AY73" s="28"/>
      <c r="AZ73" s="28"/>
      <c r="BA73" s="28"/>
      <c r="BB73" s="25">
        <v>3</v>
      </c>
      <c r="BC73" s="28"/>
      <c r="BD73" s="28"/>
      <c r="BE73" s="28"/>
    </row>
    <row r="74" ht="13.55" customHeight="1">
      <c r="A74" s="25">
        <v>6600312667</v>
      </c>
      <c r="B74" s="25">
        <v>167721399</v>
      </c>
      <c r="C74" s="26">
        <v>43092.3075</v>
      </c>
      <c r="D74" s="26">
        <v>43092.308541666673</v>
      </c>
      <c r="E74" t="s" s="27">
        <v>228</v>
      </c>
      <c r="F74" s="28"/>
      <c r="G74" s="28"/>
      <c r="H74" s="28"/>
      <c r="I74" s="28"/>
      <c r="J74" s="28"/>
      <c r="K74" s="25">
        <v>2</v>
      </c>
      <c r="L74" s="28"/>
      <c r="M74" s="28"/>
      <c r="N74" s="28"/>
      <c r="O74" s="28"/>
      <c r="P74" s="25">
        <v>1</v>
      </c>
      <c r="Q74" s="28"/>
      <c r="R74" s="28"/>
      <c r="S74" s="25">
        <v>2</v>
      </c>
      <c r="T74" s="28"/>
      <c r="U74" s="28"/>
      <c r="V74" s="28"/>
      <c r="W74" s="28"/>
      <c r="X74" s="28"/>
      <c r="Y74" s="28"/>
      <c r="Z74" s="25">
        <v>3</v>
      </c>
      <c r="AA74" s="28"/>
      <c r="AB74" s="28"/>
      <c r="AC74" s="28"/>
      <c r="AD74" s="28"/>
      <c r="AE74" s="28"/>
      <c r="AF74" s="25">
        <v>3</v>
      </c>
      <c r="AG74" s="28"/>
      <c r="AH74" s="28"/>
      <c r="AI74" s="28"/>
      <c r="AJ74" s="25">
        <v>1</v>
      </c>
      <c r="AK74" s="28"/>
      <c r="AL74" s="28"/>
      <c r="AM74" s="28"/>
      <c r="AN74" s="28"/>
      <c r="AO74" s="28"/>
      <c r="AP74" s="28"/>
      <c r="AQ74" t="s" s="27">
        <v>229</v>
      </c>
      <c r="AR74" s="28"/>
      <c r="AS74" s="25">
        <v>2</v>
      </c>
      <c r="AT74" s="28"/>
      <c r="AU74" s="28"/>
      <c r="AV74" s="28"/>
      <c r="AW74" s="28"/>
      <c r="AX74" s="28"/>
      <c r="AY74" s="28"/>
      <c r="AZ74" s="28"/>
      <c r="BA74" s="28"/>
      <c r="BB74" s="25">
        <v>3</v>
      </c>
      <c r="BC74" s="28"/>
      <c r="BD74" s="28"/>
      <c r="BE74" s="28"/>
    </row>
    <row r="75" ht="13.55" customHeight="1">
      <c r="A75" s="25">
        <v>6600306461</v>
      </c>
      <c r="B75" s="25">
        <v>167721399</v>
      </c>
      <c r="C75" s="26">
        <v>43092.299108796287</v>
      </c>
      <c r="D75" s="26">
        <v>43092.301435185182</v>
      </c>
      <c r="E75" t="s" s="27">
        <v>230</v>
      </c>
      <c r="F75" s="28"/>
      <c r="G75" s="28"/>
      <c r="H75" s="28"/>
      <c r="I75" s="28"/>
      <c r="J75" s="28"/>
      <c r="K75" s="28"/>
      <c r="L75" s="25">
        <v>3</v>
      </c>
      <c r="M75" s="28"/>
      <c r="N75" s="28"/>
      <c r="O75" s="28"/>
      <c r="P75" s="25">
        <v>1</v>
      </c>
      <c r="Q75" s="28"/>
      <c r="R75" s="28"/>
      <c r="S75" s="28"/>
      <c r="T75" s="28"/>
      <c r="U75" s="28"/>
      <c r="V75" s="28"/>
      <c r="W75" s="28"/>
      <c r="X75" s="28"/>
      <c r="Y75" s="28"/>
      <c r="Z75" s="28"/>
      <c r="AA75" s="25">
        <v>4</v>
      </c>
      <c r="AB75" s="28"/>
      <c r="AC75" s="28"/>
      <c r="AD75" s="28"/>
      <c r="AE75" s="28"/>
      <c r="AF75" s="28"/>
      <c r="AG75" s="25">
        <v>4</v>
      </c>
      <c r="AH75" s="28"/>
      <c r="AI75" s="28"/>
      <c r="AJ75" s="25">
        <v>1</v>
      </c>
      <c r="AK75" s="28"/>
      <c r="AL75" s="28"/>
      <c r="AM75" s="28"/>
      <c r="AN75" s="28"/>
      <c r="AO75" s="28"/>
      <c r="AP75" s="28"/>
      <c r="AQ75" t="s" s="27">
        <v>231</v>
      </c>
      <c r="AR75" s="28"/>
      <c r="AS75" s="28"/>
      <c r="AT75" s="25">
        <v>3</v>
      </c>
      <c r="AU75" s="28"/>
      <c r="AV75" s="28"/>
      <c r="AW75" s="28"/>
      <c r="AX75" s="28"/>
      <c r="AY75" s="28"/>
      <c r="AZ75" s="28"/>
      <c r="BA75" s="28"/>
      <c r="BB75" s="25">
        <v>3</v>
      </c>
      <c r="BC75" s="28"/>
      <c r="BD75" s="28"/>
      <c r="BE75" s="28"/>
    </row>
    <row r="76" ht="13.55" customHeight="1">
      <c r="A76" s="29">
        <v>6600301949</v>
      </c>
      <c r="B76" s="29">
        <v>167721399</v>
      </c>
      <c r="C76" s="30">
        <v>43092.294571759259</v>
      </c>
      <c r="D76" s="30">
        <v>43092.2962962963</v>
      </c>
      <c r="E76" t="s" s="31">
        <v>232</v>
      </c>
      <c r="F76" s="32"/>
      <c r="G76" s="32"/>
      <c r="H76" s="32"/>
      <c r="I76" s="32"/>
      <c r="J76" s="32"/>
      <c r="K76" s="29">
        <v>2</v>
      </c>
      <c r="L76" s="32"/>
      <c r="M76" s="32"/>
      <c r="N76" s="32"/>
      <c r="O76" s="32"/>
      <c r="P76" s="29">
        <v>1</v>
      </c>
      <c r="Q76" s="32"/>
      <c r="R76" s="32"/>
      <c r="S76" s="32"/>
      <c r="T76" s="32"/>
      <c r="U76" s="29">
        <v>4</v>
      </c>
      <c r="V76" s="32"/>
      <c r="W76" s="32"/>
      <c r="X76" s="32"/>
      <c r="Y76" s="32"/>
      <c r="Z76" s="32"/>
      <c r="AA76" s="32"/>
      <c r="AB76" s="29">
        <v>5</v>
      </c>
      <c r="AC76" s="32"/>
      <c r="AD76" s="32"/>
      <c r="AE76" s="32"/>
      <c r="AF76" s="32"/>
      <c r="AG76" s="32"/>
      <c r="AH76" s="29">
        <v>5</v>
      </c>
      <c r="AI76" s="32"/>
      <c r="AJ76" s="29">
        <v>1</v>
      </c>
      <c r="AK76" s="32"/>
      <c r="AL76" s="32"/>
      <c r="AM76" s="32"/>
      <c r="AN76" s="32"/>
      <c r="AO76" s="29">
        <v>6</v>
      </c>
      <c r="AP76" s="32"/>
      <c r="AQ76" t="s" s="31">
        <v>233</v>
      </c>
      <c r="AR76" s="32"/>
      <c r="AS76" s="32"/>
      <c r="AT76" s="29">
        <v>3</v>
      </c>
      <c r="AU76" s="32"/>
      <c r="AV76" s="32"/>
      <c r="AW76" s="32"/>
      <c r="AX76" s="32"/>
      <c r="AY76" s="32"/>
      <c r="AZ76" s="32"/>
      <c r="BA76" s="32"/>
      <c r="BB76" s="29">
        <v>3</v>
      </c>
      <c r="BC76" s="32"/>
      <c r="BD76" s="32"/>
      <c r="BE76" s="32"/>
    </row>
    <row r="77" ht="15" customHeight="1">
      <c r="A77" s="15">
        <v>6600263261</v>
      </c>
      <c r="B77" s="16">
        <v>167721399</v>
      </c>
      <c r="C77" s="17">
        <v>43092.251319444447</v>
      </c>
      <c r="D77" s="17">
        <v>43092.253275462957</v>
      </c>
      <c r="E77" t="s" s="18">
        <v>234</v>
      </c>
      <c r="F77" s="19"/>
      <c r="G77" s="19"/>
      <c r="H77" s="19"/>
      <c r="I77" s="19"/>
      <c r="J77" s="19"/>
      <c r="K77" s="19"/>
      <c r="L77" s="16">
        <v>3</v>
      </c>
      <c r="M77" s="19"/>
      <c r="N77" s="19"/>
      <c r="O77" s="19"/>
      <c r="P77" s="16">
        <v>1</v>
      </c>
      <c r="Q77" s="19"/>
      <c r="R77" s="19"/>
      <c r="S77" s="16">
        <v>2</v>
      </c>
      <c r="T77" s="19"/>
      <c r="U77" s="19"/>
      <c r="V77" s="19"/>
      <c r="W77" s="19"/>
      <c r="X77" s="19"/>
      <c r="Y77" s="16">
        <v>2</v>
      </c>
      <c r="Z77" s="19"/>
      <c r="AA77" s="19"/>
      <c r="AB77" s="19"/>
      <c r="AC77" s="19"/>
      <c r="AD77" s="16">
        <v>1</v>
      </c>
      <c r="AE77" s="19"/>
      <c r="AF77" s="19"/>
      <c r="AG77" s="19"/>
      <c r="AH77" s="19"/>
      <c r="AI77" s="19"/>
      <c r="AJ77" s="19"/>
      <c r="AK77" s="19"/>
      <c r="AL77" s="19"/>
      <c r="AM77" s="19"/>
      <c r="AN77" s="19"/>
      <c r="AO77" s="16">
        <v>6</v>
      </c>
      <c r="AP77" s="19"/>
      <c r="AQ77" t="s" s="18">
        <v>235</v>
      </c>
      <c r="AR77" s="19"/>
      <c r="AS77" s="19"/>
      <c r="AT77" s="19"/>
      <c r="AU77" s="16">
        <v>4</v>
      </c>
      <c r="AV77" s="19"/>
      <c r="AW77" s="19"/>
      <c r="AX77" s="19"/>
      <c r="AY77" s="19"/>
      <c r="AZ77" s="16">
        <v>1</v>
      </c>
      <c r="BA77" s="19"/>
      <c r="BB77" s="19"/>
      <c r="BC77" s="19"/>
      <c r="BD77" s="19"/>
      <c r="BE77" t="s" s="20">
        <v>236</v>
      </c>
    </row>
    <row r="78" ht="15" customHeight="1">
      <c r="A78" s="21">
        <v>6600261594</v>
      </c>
      <c r="B78" s="21">
        <v>167721399</v>
      </c>
      <c r="C78" s="21">
        <v>43092.2480439815</v>
      </c>
      <c r="D78" s="21">
        <v>43092.251400463</v>
      </c>
      <c r="E78" t="s" s="23">
        <v>237</v>
      </c>
      <c r="F78" s="24"/>
      <c r="G78" s="24"/>
      <c r="H78" s="24"/>
      <c r="I78" s="24"/>
      <c r="J78" s="24"/>
      <c r="K78" s="24"/>
      <c r="L78" s="24"/>
      <c r="M78" s="24"/>
      <c r="N78" s="24"/>
      <c r="O78" s="21">
        <v>6</v>
      </c>
      <c r="P78" s="24"/>
      <c r="Q78" s="21">
        <v>2</v>
      </c>
      <c r="R78" s="24"/>
      <c r="S78" s="24"/>
      <c r="T78" s="24"/>
      <c r="U78" s="24"/>
      <c r="V78" s="21">
        <v>5</v>
      </c>
      <c r="W78" s="24"/>
      <c r="X78" s="24"/>
      <c r="Y78" s="21">
        <v>2</v>
      </c>
      <c r="Z78" s="24"/>
      <c r="AA78" s="24"/>
      <c r="AB78" s="24"/>
      <c r="AC78" s="24"/>
      <c r="AD78" s="24"/>
      <c r="AE78" s="24"/>
      <c r="AF78" s="21">
        <v>3</v>
      </c>
      <c r="AG78" s="24"/>
      <c r="AH78" s="24"/>
      <c r="AI78" s="24"/>
      <c r="AJ78" s="24"/>
      <c r="AK78" s="24"/>
      <c r="AL78" s="21">
        <v>3</v>
      </c>
      <c r="AM78" s="24"/>
      <c r="AN78" s="24"/>
      <c r="AO78" s="21">
        <v>6</v>
      </c>
      <c r="AP78" s="21">
        <v>7</v>
      </c>
      <c r="AQ78" t="s" s="23">
        <v>238</v>
      </c>
      <c r="AR78" s="24"/>
      <c r="AS78" s="24"/>
      <c r="AT78" s="24"/>
      <c r="AU78" s="24"/>
      <c r="AV78" s="24"/>
      <c r="AW78" s="24"/>
      <c r="AX78" s="24"/>
      <c r="AY78" s="38">
        <v>8</v>
      </c>
      <c r="AZ78" s="36"/>
      <c r="BA78" s="39"/>
      <c r="BB78" s="21">
        <v>3</v>
      </c>
      <c r="BC78" s="24"/>
      <c r="BD78" s="24"/>
      <c r="BE78" t="s" s="23">
        <v>239</v>
      </c>
    </row>
    <row r="79" ht="13.55" customHeight="1">
      <c r="A79" s="25">
        <v>6600249652</v>
      </c>
      <c r="B79" s="25">
        <v>167721399</v>
      </c>
      <c r="C79" s="26">
        <v>43092.237361111111</v>
      </c>
      <c r="D79" s="26">
        <v>43092.2381712963</v>
      </c>
      <c r="E79" t="s" s="27">
        <v>240</v>
      </c>
      <c r="F79" s="28"/>
      <c r="G79" s="28"/>
      <c r="H79" s="28"/>
      <c r="I79" s="28"/>
      <c r="J79" s="28"/>
      <c r="K79" s="28"/>
      <c r="L79" s="25">
        <v>3</v>
      </c>
      <c r="M79" s="28"/>
      <c r="N79" s="28"/>
      <c r="O79" s="28"/>
      <c r="P79" s="28"/>
      <c r="Q79" s="25">
        <v>2</v>
      </c>
      <c r="R79" s="28"/>
      <c r="S79" s="28"/>
      <c r="T79" s="25">
        <v>3</v>
      </c>
      <c r="U79" s="28"/>
      <c r="V79" s="28"/>
      <c r="W79" s="28"/>
      <c r="X79" s="28"/>
      <c r="Y79" s="28"/>
      <c r="Z79" s="25">
        <v>3</v>
      </c>
      <c r="AA79" s="28"/>
      <c r="AB79" s="28"/>
      <c r="AC79" s="28"/>
      <c r="AD79" s="28"/>
      <c r="AE79" s="25">
        <v>2</v>
      </c>
      <c r="AF79" s="28"/>
      <c r="AG79" s="28"/>
      <c r="AH79" s="28"/>
      <c r="AI79" s="28"/>
      <c r="AJ79" s="28"/>
      <c r="AK79" s="25">
        <v>2</v>
      </c>
      <c r="AL79" s="28"/>
      <c r="AM79" s="28"/>
      <c r="AN79" s="25">
        <v>5</v>
      </c>
      <c r="AO79" s="25">
        <v>6</v>
      </c>
      <c r="AP79" s="28"/>
      <c r="AQ79" t="s" s="27">
        <v>241</v>
      </c>
      <c r="AR79" s="28"/>
      <c r="AS79" s="28"/>
      <c r="AT79" s="25">
        <v>3</v>
      </c>
      <c r="AU79" s="28"/>
      <c r="AV79" s="28"/>
      <c r="AW79" s="28"/>
      <c r="AX79" s="28"/>
      <c r="AY79" s="28"/>
      <c r="AZ79" s="24"/>
      <c r="BA79" s="28"/>
      <c r="BB79" s="28"/>
      <c r="BC79" s="25">
        <v>4</v>
      </c>
      <c r="BD79" s="28"/>
      <c r="BE79" s="28"/>
    </row>
    <row r="80" ht="13.55" customHeight="1">
      <c r="A80" s="25">
        <v>6600242751</v>
      </c>
      <c r="B80" s="25">
        <v>167721399</v>
      </c>
      <c r="C80" s="26">
        <v>43092.229178240741</v>
      </c>
      <c r="D80" s="26">
        <v>43092.2303125</v>
      </c>
      <c r="E80" t="s" s="27">
        <v>242</v>
      </c>
      <c r="F80" s="28"/>
      <c r="G80" s="28"/>
      <c r="H80" s="28"/>
      <c r="I80" s="28"/>
      <c r="J80" s="28"/>
      <c r="K80" s="25">
        <v>2</v>
      </c>
      <c r="L80" s="28"/>
      <c r="M80" s="28"/>
      <c r="N80" s="28"/>
      <c r="O80" s="28"/>
      <c r="P80" s="25">
        <v>1</v>
      </c>
      <c r="Q80" s="28"/>
      <c r="R80" s="28"/>
      <c r="S80" s="28"/>
      <c r="T80" s="28"/>
      <c r="U80" s="25">
        <v>4</v>
      </c>
      <c r="V80" s="28"/>
      <c r="W80" s="28"/>
      <c r="X80" s="28"/>
      <c r="Y80" s="28"/>
      <c r="Z80" s="28"/>
      <c r="AA80" s="28"/>
      <c r="AB80" s="25">
        <v>5</v>
      </c>
      <c r="AC80" s="28"/>
      <c r="AD80" s="28"/>
      <c r="AE80" s="28"/>
      <c r="AF80" s="28"/>
      <c r="AG80" s="28"/>
      <c r="AH80" s="25">
        <v>5</v>
      </c>
      <c r="AI80" s="28"/>
      <c r="AJ80" s="25">
        <v>1</v>
      </c>
      <c r="AK80" s="28"/>
      <c r="AL80" s="28"/>
      <c r="AM80" s="28"/>
      <c r="AN80" s="28"/>
      <c r="AO80" s="25">
        <v>6</v>
      </c>
      <c r="AP80" s="28"/>
      <c r="AQ80" t="s" s="27">
        <v>243</v>
      </c>
      <c r="AR80" s="28"/>
      <c r="AS80" s="28"/>
      <c r="AT80" s="28"/>
      <c r="AU80" s="28"/>
      <c r="AV80" s="28"/>
      <c r="AW80" s="28"/>
      <c r="AX80" s="25">
        <v>7</v>
      </c>
      <c r="AY80" s="28"/>
      <c r="AZ80" s="28"/>
      <c r="BA80" s="28"/>
      <c r="BB80" s="25">
        <v>3</v>
      </c>
      <c r="BC80" s="28"/>
      <c r="BD80" s="28"/>
      <c r="BE80" s="28"/>
    </row>
    <row r="81" ht="13.55" customHeight="1">
      <c r="A81" s="25">
        <v>6600241354</v>
      </c>
      <c r="B81" s="25">
        <v>167721399</v>
      </c>
      <c r="C81" s="26">
        <v>43092.227800925917</v>
      </c>
      <c r="D81" s="26">
        <v>43092.228726851848</v>
      </c>
      <c r="E81" t="s" s="27">
        <v>244</v>
      </c>
      <c r="F81" s="28"/>
      <c r="G81" s="28"/>
      <c r="H81" s="28"/>
      <c r="I81" s="28"/>
      <c r="J81" s="28"/>
      <c r="K81" s="28"/>
      <c r="L81" s="25">
        <v>3</v>
      </c>
      <c r="M81" s="28"/>
      <c r="N81" s="28"/>
      <c r="O81" s="28"/>
      <c r="P81" s="25">
        <v>1</v>
      </c>
      <c r="Q81" s="28"/>
      <c r="R81" s="28"/>
      <c r="S81" s="25">
        <v>2</v>
      </c>
      <c r="T81" s="28"/>
      <c r="U81" s="28"/>
      <c r="V81" s="28"/>
      <c r="W81" s="28"/>
      <c r="X81" s="28"/>
      <c r="Y81" s="25">
        <v>2</v>
      </c>
      <c r="Z81" s="28"/>
      <c r="AA81" s="28"/>
      <c r="AB81" s="28"/>
      <c r="AC81" s="28"/>
      <c r="AD81" s="25">
        <v>1</v>
      </c>
      <c r="AE81" s="28"/>
      <c r="AF81" s="28"/>
      <c r="AG81" s="28"/>
      <c r="AH81" s="28"/>
      <c r="AI81" s="28"/>
      <c r="AJ81" s="25">
        <v>1</v>
      </c>
      <c r="AK81" s="28"/>
      <c r="AL81" s="28"/>
      <c r="AM81" s="28"/>
      <c r="AN81" s="28"/>
      <c r="AO81" s="28"/>
      <c r="AP81" s="28"/>
      <c r="AQ81" t="s" s="27">
        <v>245</v>
      </c>
      <c r="AR81" s="28"/>
      <c r="AS81" s="25">
        <v>2</v>
      </c>
      <c r="AT81" s="28"/>
      <c r="AU81" s="28"/>
      <c r="AV81" s="28"/>
      <c r="AW81" s="28"/>
      <c r="AX81" s="28"/>
      <c r="AY81" s="28"/>
      <c r="AZ81" s="28"/>
      <c r="BA81" s="28"/>
      <c r="BB81" s="25">
        <v>3</v>
      </c>
      <c r="BC81" s="28"/>
      <c r="BD81" s="28"/>
      <c r="BE81" s="28"/>
    </row>
    <row r="82" ht="13.55" customHeight="1">
      <c r="A82" s="25">
        <v>6600221314</v>
      </c>
      <c r="B82" s="25">
        <v>167721399</v>
      </c>
      <c r="C82" s="26">
        <v>43092.204293981478</v>
      </c>
      <c r="D82" s="26">
        <v>43092.205682870372</v>
      </c>
      <c r="E82" t="s" s="27">
        <v>246</v>
      </c>
      <c r="F82" s="28"/>
      <c r="G82" s="28"/>
      <c r="H82" s="28"/>
      <c r="I82" s="28"/>
      <c r="J82" s="28"/>
      <c r="K82" s="25">
        <v>2</v>
      </c>
      <c r="L82" s="28"/>
      <c r="M82" s="28"/>
      <c r="N82" s="28"/>
      <c r="O82" s="28"/>
      <c r="P82" s="25">
        <v>1</v>
      </c>
      <c r="Q82" s="28"/>
      <c r="R82" s="28"/>
      <c r="S82" s="25">
        <v>2</v>
      </c>
      <c r="T82" s="28"/>
      <c r="U82" s="28"/>
      <c r="V82" s="28"/>
      <c r="W82" s="28"/>
      <c r="X82" s="28"/>
      <c r="Y82" s="25">
        <v>2</v>
      </c>
      <c r="Z82" s="28"/>
      <c r="AA82" s="28"/>
      <c r="AB82" s="28"/>
      <c r="AC82" s="28"/>
      <c r="AD82" s="28"/>
      <c r="AE82" s="28"/>
      <c r="AF82" s="25">
        <v>3</v>
      </c>
      <c r="AG82" s="28"/>
      <c r="AH82" s="28"/>
      <c r="AI82" s="28"/>
      <c r="AJ82" s="25">
        <v>1</v>
      </c>
      <c r="AK82" s="28"/>
      <c r="AL82" s="28"/>
      <c r="AM82" s="28"/>
      <c r="AN82" s="28"/>
      <c r="AO82" s="28"/>
      <c r="AP82" s="28"/>
      <c r="AQ82" t="s" s="27">
        <v>247</v>
      </c>
      <c r="AR82" s="28"/>
      <c r="AS82" s="28"/>
      <c r="AT82" s="28"/>
      <c r="AU82" s="28"/>
      <c r="AV82" s="28"/>
      <c r="AW82" s="28"/>
      <c r="AX82" s="25">
        <v>7</v>
      </c>
      <c r="AY82" s="28"/>
      <c r="AZ82" s="28"/>
      <c r="BA82" s="28"/>
      <c r="BB82" s="28"/>
      <c r="BC82" s="25">
        <v>4</v>
      </c>
      <c r="BD82" s="28"/>
      <c r="BE82" s="28"/>
    </row>
    <row r="83" ht="13.55" customHeight="1">
      <c r="A83" s="25">
        <v>6600220164</v>
      </c>
      <c r="B83" s="25">
        <v>167721399</v>
      </c>
      <c r="C83" s="26">
        <v>43092.2022337963</v>
      </c>
      <c r="D83" s="26">
        <v>43092.204282407409</v>
      </c>
      <c r="E83" t="s" s="27">
        <v>248</v>
      </c>
      <c r="F83" s="28"/>
      <c r="G83" s="28"/>
      <c r="H83" s="28"/>
      <c r="I83" s="28"/>
      <c r="J83" s="28"/>
      <c r="K83" s="25">
        <v>2</v>
      </c>
      <c r="L83" s="28"/>
      <c r="M83" s="28"/>
      <c r="N83" s="28"/>
      <c r="O83" s="28"/>
      <c r="P83" s="25">
        <v>1</v>
      </c>
      <c r="Q83" s="28"/>
      <c r="R83" s="28"/>
      <c r="S83" s="28"/>
      <c r="T83" s="28"/>
      <c r="U83" s="25">
        <v>4</v>
      </c>
      <c r="V83" s="28"/>
      <c r="W83" s="28"/>
      <c r="X83" s="28"/>
      <c r="Y83" s="28"/>
      <c r="Z83" s="28"/>
      <c r="AA83" s="25">
        <v>4</v>
      </c>
      <c r="AB83" s="28"/>
      <c r="AC83" s="28"/>
      <c r="AD83" s="28"/>
      <c r="AE83" s="28"/>
      <c r="AF83" s="25">
        <v>3</v>
      </c>
      <c r="AG83" s="28"/>
      <c r="AH83" s="28"/>
      <c r="AI83" s="28"/>
      <c r="AJ83" s="25">
        <v>1</v>
      </c>
      <c r="AK83" s="25">
        <v>2</v>
      </c>
      <c r="AL83" s="28"/>
      <c r="AM83" s="28"/>
      <c r="AN83" s="28"/>
      <c r="AO83" s="28"/>
      <c r="AP83" s="28"/>
      <c r="AQ83" t="s" s="27">
        <v>249</v>
      </c>
      <c r="AR83" s="25">
        <v>1</v>
      </c>
      <c r="AS83" s="28"/>
      <c r="AT83" s="28"/>
      <c r="AU83" s="28"/>
      <c r="AV83" s="28"/>
      <c r="AW83" s="28"/>
      <c r="AX83" s="28"/>
      <c r="AY83" s="28"/>
      <c r="AZ83" s="28"/>
      <c r="BA83" s="28"/>
      <c r="BB83" s="25">
        <v>3</v>
      </c>
      <c r="BC83" s="28"/>
      <c r="BD83" s="28"/>
      <c r="BE83" s="28"/>
    </row>
    <row r="84" ht="13.55" customHeight="1">
      <c r="A84" s="25">
        <v>6600216855</v>
      </c>
      <c r="B84" s="25">
        <v>167721399</v>
      </c>
      <c r="C84" s="26">
        <v>43092.198541666658</v>
      </c>
      <c r="D84" s="26">
        <v>43092.200347222220</v>
      </c>
      <c r="E84" t="s" s="27">
        <v>250</v>
      </c>
      <c r="F84" s="28"/>
      <c r="G84" s="28"/>
      <c r="H84" s="28"/>
      <c r="I84" s="28"/>
      <c r="J84" s="28"/>
      <c r="K84" s="28"/>
      <c r="L84" s="25">
        <v>3</v>
      </c>
      <c r="M84" s="28"/>
      <c r="N84" s="28"/>
      <c r="O84" s="28"/>
      <c r="P84" s="25">
        <v>1</v>
      </c>
      <c r="Q84" s="28"/>
      <c r="R84" s="28"/>
      <c r="S84" s="28"/>
      <c r="T84" s="25">
        <v>3</v>
      </c>
      <c r="U84" s="28"/>
      <c r="V84" s="28"/>
      <c r="W84" s="28"/>
      <c r="X84" s="25">
        <v>1</v>
      </c>
      <c r="Y84" s="28"/>
      <c r="Z84" s="28"/>
      <c r="AA84" s="28"/>
      <c r="AB84" s="28"/>
      <c r="AC84" s="28"/>
      <c r="AD84" s="25">
        <v>1</v>
      </c>
      <c r="AE84" s="28"/>
      <c r="AF84" s="28"/>
      <c r="AG84" s="28"/>
      <c r="AH84" s="28"/>
      <c r="AI84" s="28"/>
      <c r="AJ84" s="25">
        <v>1</v>
      </c>
      <c r="AK84" s="28"/>
      <c r="AL84" s="28"/>
      <c r="AM84" s="28"/>
      <c r="AN84" s="28"/>
      <c r="AO84" s="28"/>
      <c r="AP84" s="25">
        <v>7</v>
      </c>
      <c r="AQ84" t="s" s="27">
        <v>251</v>
      </c>
      <c r="AR84" s="28"/>
      <c r="AS84" s="28"/>
      <c r="AT84" s="25">
        <v>3</v>
      </c>
      <c r="AU84" s="28"/>
      <c r="AV84" s="28"/>
      <c r="AW84" s="28"/>
      <c r="AX84" s="28"/>
      <c r="AY84" s="28"/>
      <c r="AZ84" s="28"/>
      <c r="BA84" s="28"/>
      <c r="BB84" s="28"/>
      <c r="BC84" s="25">
        <v>4</v>
      </c>
      <c r="BD84" s="28"/>
      <c r="BE84" s="28"/>
    </row>
    <row r="85" ht="13.55" customHeight="1">
      <c r="A85" s="25">
        <v>6600216803</v>
      </c>
      <c r="B85" s="25">
        <v>167721399</v>
      </c>
      <c r="C85" s="26">
        <v>43092.198784722219</v>
      </c>
      <c r="D85" s="26">
        <v>43092.200277777767</v>
      </c>
      <c r="E85" t="s" s="27">
        <v>252</v>
      </c>
      <c r="F85" s="28"/>
      <c r="G85" s="28"/>
      <c r="H85" s="28"/>
      <c r="I85" s="28"/>
      <c r="J85" s="28"/>
      <c r="K85" s="28"/>
      <c r="L85" s="25">
        <v>3</v>
      </c>
      <c r="M85" s="28"/>
      <c r="N85" s="28"/>
      <c r="O85" s="28"/>
      <c r="P85" s="25">
        <v>1</v>
      </c>
      <c r="Q85" s="28"/>
      <c r="R85" s="28"/>
      <c r="S85" s="28"/>
      <c r="T85" s="28"/>
      <c r="U85" s="25">
        <v>4</v>
      </c>
      <c r="V85" s="28"/>
      <c r="W85" s="28"/>
      <c r="X85" s="28"/>
      <c r="Y85" s="28"/>
      <c r="Z85" s="28"/>
      <c r="AA85" s="25">
        <v>4</v>
      </c>
      <c r="AB85" s="28"/>
      <c r="AC85" s="28"/>
      <c r="AD85" s="28"/>
      <c r="AE85" s="28"/>
      <c r="AF85" s="28"/>
      <c r="AG85" s="25">
        <v>4</v>
      </c>
      <c r="AH85" s="28"/>
      <c r="AI85" s="28"/>
      <c r="AJ85" s="25">
        <v>1</v>
      </c>
      <c r="AK85" s="28"/>
      <c r="AL85" s="28"/>
      <c r="AM85" s="28"/>
      <c r="AN85" s="28"/>
      <c r="AO85" s="25">
        <v>6</v>
      </c>
      <c r="AP85" s="25">
        <v>7</v>
      </c>
      <c r="AQ85" t="s" s="27">
        <v>253</v>
      </c>
      <c r="AR85" s="28"/>
      <c r="AS85" s="25">
        <v>2</v>
      </c>
      <c r="AT85" s="28"/>
      <c r="AU85" s="28"/>
      <c r="AV85" s="28"/>
      <c r="AW85" s="28"/>
      <c r="AX85" s="28"/>
      <c r="AY85" s="28"/>
      <c r="AZ85" s="28"/>
      <c r="BA85" s="28"/>
      <c r="BB85" s="25">
        <v>3</v>
      </c>
      <c r="BC85" s="28"/>
      <c r="BD85" s="28"/>
      <c r="BE85" s="28"/>
    </row>
    <row r="86" ht="13.55" customHeight="1">
      <c r="A86" s="25">
        <v>6600180873</v>
      </c>
      <c r="B86" s="25">
        <v>167721399</v>
      </c>
      <c r="C86" s="26">
        <v>43092.1534837963</v>
      </c>
      <c r="D86" s="26">
        <v>43092.154201388890</v>
      </c>
      <c r="E86" t="s" s="27">
        <v>254</v>
      </c>
      <c r="F86" s="28"/>
      <c r="G86" s="28"/>
      <c r="H86" s="28"/>
      <c r="I86" s="28"/>
      <c r="J86" s="28"/>
      <c r="K86" s="25">
        <v>2</v>
      </c>
      <c r="L86" s="28"/>
      <c r="M86" s="28"/>
      <c r="N86" s="28"/>
      <c r="O86" s="28"/>
      <c r="P86" s="25">
        <v>1</v>
      </c>
      <c r="Q86" s="28"/>
      <c r="R86" s="25">
        <v>1</v>
      </c>
      <c r="S86" s="28"/>
      <c r="T86" s="28"/>
      <c r="U86" s="28"/>
      <c r="V86" s="28"/>
      <c r="W86" s="28"/>
      <c r="X86" s="28"/>
      <c r="Y86" s="25">
        <v>2</v>
      </c>
      <c r="Z86" s="28"/>
      <c r="AA86" s="28"/>
      <c r="AB86" s="28"/>
      <c r="AC86" s="28"/>
      <c r="AD86" s="25">
        <v>1</v>
      </c>
      <c r="AE86" s="28"/>
      <c r="AF86" s="28"/>
      <c r="AG86" s="28"/>
      <c r="AH86" s="28"/>
      <c r="AI86" s="28"/>
      <c r="AJ86" s="25">
        <v>1</v>
      </c>
      <c r="AK86" s="28"/>
      <c r="AL86" s="28"/>
      <c r="AM86" s="28"/>
      <c r="AN86" s="28"/>
      <c r="AO86" s="28"/>
      <c r="AP86" s="28"/>
      <c r="AQ86" t="s" s="27">
        <v>255</v>
      </c>
      <c r="AR86" s="28"/>
      <c r="AS86" s="28"/>
      <c r="AT86" s="25">
        <v>3</v>
      </c>
      <c r="AU86" s="28"/>
      <c r="AV86" s="28"/>
      <c r="AW86" s="28"/>
      <c r="AX86" s="28"/>
      <c r="AY86" s="28"/>
      <c r="AZ86" s="28"/>
      <c r="BA86" s="28"/>
      <c r="BB86" s="25">
        <v>3</v>
      </c>
      <c r="BC86" s="28"/>
      <c r="BD86" s="28"/>
      <c r="BE86" s="28"/>
    </row>
    <row r="87" ht="13.55" customHeight="1">
      <c r="A87" s="25">
        <v>6600162221</v>
      </c>
      <c r="B87" s="25">
        <v>167721399</v>
      </c>
      <c r="C87" s="26">
        <v>43092.127743055556</v>
      </c>
      <c r="D87" s="26">
        <v>43092.129085648150</v>
      </c>
      <c r="E87" t="s" s="27">
        <v>256</v>
      </c>
      <c r="F87" s="28"/>
      <c r="G87" s="28"/>
      <c r="H87" s="28"/>
      <c r="I87" s="28"/>
      <c r="J87" s="28"/>
      <c r="K87" s="25">
        <v>2</v>
      </c>
      <c r="L87" s="28"/>
      <c r="M87" s="28"/>
      <c r="N87" s="28"/>
      <c r="O87" s="28"/>
      <c r="P87" s="25">
        <v>1</v>
      </c>
      <c r="Q87" s="28"/>
      <c r="R87" s="25">
        <v>1</v>
      </c>
      <c r="S87" s="28"/>
      <c r="T87" s="28"/>
      <c r="U87" s="28"/>
      <c r="V87" s="28"/>
      <c r="W87" s="28"/>
      <c r="X87" s="28"/>
      <c r="Y87" s="25">
        <v>2</v>
      </c>
      <c r="Z87" s="28"/>
      <c r="AA87" s="28"/>
      <c r="AB87" s="28"/>
      <c r="AC87" s="28"/>
      <c r="AD87" s="28"/>
      <c r="AE87" s="25">
        <v>2</v>
      </c>
      <c r="AF87" s="28"/>
      <c r="AG87" s="28"/>
      <c r="AH87" s="28"/>
      <c r="AI87" s="28"/>
      <c r="AJ87" s="28"/>
      <c r="AK87" s="28"/>
      <c r="AL87" s="28"/>
      <c r="AM87" s="28"/>
      <c r="AN87" s="28"/>
      <c r="AO87" s="28"/>
      <c r="AP87" s="25">
        <v>7</v>
      </c>
      <c r="AQ87" t="s" s="27">
        <v>257</v>
      </c>
      <c r="AR87" s="25">
        <v>1</v>
      </c>
      <c r="AS87" s="28"/>
      <c r="AT87" s="28"/>
      <c r="AU87" s="28"/>
      <c r="AV87" s="28"/>
      <c r="AW87" s="28"/>
      <c r="AX87" s="28"/>
      <c r="AY87" s="28"/>
      <c r="AZ87" s="28"/>
      <c r="BA87" s="28"/>
      <c r="BB87" s="25">
        <v>3</v>
      </c>
      <c r="BC87" s="28"/>
      <c r="BD87" s="28"/>
      <c r="BE87" s="28"/>
    </row>
    <row r="88" ht="13.55" customHeight="1">
      <c r="A88" s="25">
        <v>6600144074</v>
      </c>
      <c r="B88" s="25">
        <v>167721399</v>
      </c>
      <c r="C88" s="26">
        <v>43092.108020833337</v>
      </c>
      <c r="D88" s="26">
        <v>43092.109155092592</v>
      </c>
      <c r="E88" t="s" s="27">
        <v>258</v>
      </c>
      <c r="F88" s="28"/>
      <c r="G88" s="28"/>
      <c r="H88" s="28"/>
      <c r="I88" s="28"/>
      <c r="J88" s="28"/>
      <c r="K88" s="28"/>
      <c r="L88" s="25">
        <v>3</v>
      </c>
      <c r="M88" s="28"/>
      <c r="N88" s="28"/>
      <c r="O88" s="28"/>
      <c r="P88" s="25">
        <v>1</v>
      </c>
      <c r="Q88" s="28"/>
      <c r="R88" s="28"/>
      <c r="S88" s="28"/>
      <c r="T88" s="28"/>
      <c r="U88" s="28"/>
      <c r="V88" s="25">
        <v>5</v>
      </c>
      <c r="W88" s="28"/>
      <c r="X88" s="28"/>
      <c r="Y88" s="25">
        <v>2</v>
      </c>
      <c r="Z88" s="28"/>
      <c r="AA88" s="28"/>
      <c r="AB88" s="28"/>
      <c r="AC88" s="28"/>
      <c r="AD88" s="25">
        <v>1</v>
      </c>
      <c r="AE88" s="28"/>
      <c r="AF88" s="28"/>
      <c r="AG88" s="28"/>
      <c r="AH88" s="28"/>
      <c r="AI88" s="28"/>
      <c r="AJ88" s="25">
        <v>1</v>
      </c>
      <c r="AK88" s="28"/>
      <c r="AL88" s="28"/>
      <c r="AM88" s="28"/>
      <c r="AN88" s="28"/>
      <c r="AO88" s="28"/>
      <c r="AP88" s="28"/>
      <c r="AQ88" t="s" s="27">
        <v>259</v>
      </c>
      <c r="AR88" s="28"/>
      <c r="AS88" s="28"/>
      <c r="AT88" s="28"/>
      <c r="AU88" s="28"/>
      <c r="AV88" s="28"/>
      <c r="AW88" s="28"/>
      <c r="AX88" s="28"/>
      <c r="AY88" s="25">
        <v>8</v>
      </c>
      <c r="AZ88" s="28"/>
      <c r="BA88" s="28"/>
      <c r="BB88" s="28"/>
      <c r="BC88" s="25">
        <v>4</v>
      </c>
      <c r="BD88" s="28"/>
      <c r="BE88" s="28"/>
    </row>
    <row r="89" ht="13.55" customHeight="1">
      <c r="A89" s="25">
        <v>6600117782</v>
      </c>
      <c r="B89" s="25">
        <v>167721399</v>
      </c>
      <c r="C89" s="26">
        <v>43092.069872685177</v>
      </c>
      <c r="D89" s="26">
        <v>43092.071701388893</v>
      </c>
      <c r="E89" t="s" s="27">
        <v>260</v>
      </c>
      <c r="F89" s="28"/>
      <c r="G89" s="28"/>
      <c r="H89" s="28"/>
      <c r="I89" s="28"/>
      <c r="J89" s="28"/>
      <c r="K89" s="28"/>
      <c r="L89" s="28"/>
      <c r="M89" s="28"/>
      <c r="N89" s="25">
        <v>5</v>
      </c>
      <c r="O89" s="28"/>
      <c r="P89" s="25">
        <v>1</v>
      </c>
      <c r="Q89" s="28"/>
      <c r="R89" s="28"/>
      <c r="S89" s="28"/>
      <c r="T89" s="28"/>
      <c r="U89" s="28"/>
      <c r="V89" s="28"/>
      <c r="W89" s="25">
        <v>6</v>
      </c>
      <c r="X89" s="28"/>
      <c r="Y89" s="28"/>
      <c r="Z89" s="25">
        <v>3</v>
      </c>
      <c r="AA89" s="28"/>
      <c r="AB89" s="28"/>
      <c r="AC89" s="28"/>
      <c r="AD89" s="25">
        <v>1</v>
      </c>
      <c r="AE89" s="28"/>
      <c r="AF89" s="28"/>
      <c r="AG89" s="28"/>
      <c r="AH89" s="28"/>
      <c r="AI89" s="28"/>
      <c r="AJ89" s="25">
        <v>1</v>
      </c>
      <c r="AK89" s="28"/>
      <c r="AL89" s="28"/>
      <c r="AM89" s="28"/>
      <c r="AN89" s="28"/>
      <c r="AO89" s="25">
        <v>6</v>
      </c>
      <c r="AP89" s="28"/>
      <c r="AQ89" t="s" s="27">
        <v>261</v>
      </c>
      <c r="AR89" s="28"/>
      <c r="AS89" s="25">
        <v>2</v>
      </c>
      <c r="AT89" s="28"/>
      <c r="AU89" s="28"/>
      <c r="AV89" s="28"/>
      <c r="AW89" s="28"/>
      <c r="AX89" s="28"/>
      <c r="AY89" s="28"/>
      <c r="AZ89" s="28"/>
      <c r="BA89" s="28"/>
      <c r="BB89" s="25">
        <v>3</v>
      </c>
      <c r="BC89" s="28"/>
      <c r="BD89" s="28"/>
      <c r="BE89" s="28"/>
    </row>
    <row r="90" ht="13.55" customHeight="1">
      <c r="A90" s="25">
        <v>6600102305</v>
      </c>
      <c r="B90" s="25">
        <v>167721399</v>
      </c>
      <c r="C90" s="26">
        <v>43092.049085648148</v>
      </c>
      <c r="D90" s="26">
        <v>43092.049722222233</v>
      </c>
      <c r="E90" t="s" s="27">
        <v>262</v>
      </c>
      <c r="F90" s="28"/>
      <c r="G90" s="28"/>
      <c r="H90" s="28"/>
      <c r="I90" s="28"/>
      <c r="J90" s="28"/>
      <c r="K90" s="28"/>
      <c r="L90" s="25">
        <v>3</v>
      </c>
      <c r="M90" s="28"/>
      <c r="N90" s="28"/>
      <c r="O90" s="28"/>
      <c r="P90" s="28"/>
      <c r="Q90" s="25">
        <v>2</v>
      </c>
      <c r="R90" s="28"/>
      <c r="S90" s="25">
        <v>2</v>
      </c>
      <c r="T90" s="28"/>
      <c r="U90" s="28"/>
      <c r="V90" s="28"/>
      <c r="W90" s="28"/>
      <c r="X90" s="28"/>
      <c r="Y90" s="28"/>
      <c r="Z90" s="25">
        <v>3</v>
      </c>
      <c r="AA90" s="28"/>
      <c r="AB90" s="28"/>
      <c r="AC90" s="28"/>
      <c r="AD90" s="25">
        <v>1</v>
      </c>
      <c r="AE90" s="28"/>
      <c r="AF90" s="28"/>
      <c r="AG90" s="28"/>
      <c r="AH90" s="28"/>
      <c r="AI90" s="28"/>
      <c r="AJ90" s="28"/>
      <c r="AK90" s="28"/>
      <c r="AL90" s="28"/>
      <c r="AM90" s="28"/>
      <c r="AN90" s="25">
        <v>5</v>
      </c>
      <c r="AO90" s="25">
        <v>6</v>
      </c>
      <c r="AP90" s="28"/>
      <c r="AQ90" t="s" s="27">
        <v>263</v>
      </c>
      <c r="AR90" s="28"/>
      <c r="AS90" s="28"/>
      <c r="AT90" s="28"/>
      <c r="AU90" s="25">
        <v>4</v>
      </c>
      <c r="AV90" s="28"/>
      <c r="AW90" s="28"/>
      <c r="AX90" s="28"/>
      <c r="AY90" s="28"/>
      <c r="AZ90" s="28"/>
      <c r="BA90" s="28"/>
      <c r="BB90" s="25">
        <v>3</v>
      </c>
      <c r="BC90" s="28"/>
      <c r="BD90" s="28"/>
      <c r="BE90" s="28"/>
    </row>
    <row r="91" ht="13.55" customHeight="1">
      <c r="A91" s="25">
        <v>6600087490</v>
      </c>
      <c r="B91" s="25">
        <v>167721399</v>
      </c>
      <c r="C91" s="26">
        <v>43092.028252314813</v>
      </c>
      <c r="D91" s="26">
        <v>43092.029189814813</v>
      </c>
      <c r="E91" t="s" s="27">
        <v>264</v>
      </c>
      <c r="F91" s="28"/>
      <c r="G91" s="28"/>
      <c r="H91" s="28"/>
      <c r="I91" s="28"/>
      <c r="J91" s="28"/>
      <c r="K91" s="25">
        <v>2</v>
      </c>
      <c r="L91" s="28"/>
      <c r="M91" s="28"/>
      <c r="N91" s="28"/>
      <c r="O91" s="28"/>
      <c r="P91" s="25">
        <v>1</v>
      </c>
      <c r="Q91" s="28"/>
      <c r="R91" s="25">
        <v>1</v>
      </c>
      <c r="S91" s="28"/>
      <c r="T91" s="28"/>
      <c r="U91" s="28"/>
      <c r="V91" s="28"/>
      <c r="W91" s="28"/>
      <c r="X91" s="28"/>
      <c r="Y91" s="28"/>
      <c r="Z91" s="25">
        <v>3</v>
      </c>
      <c r="AA91" s="28"/>
      <c r="AB91" s="28"/>
      <c r="AC91" s="28"/>
      <c r="AD91" s="28"/>
      <c r="AE91" s="28"/>
      <c r="AF91" s="25">
        <v>3</v>
      </c>
      <c r="AG91" s="28"/>
      <c r="AH91" s="28"/>
      <c r="AI91" s="28"/>
      <c r="AJ91" s="25">
        <v>1</v>
      </c>
      <c r="AK91" s="25">
        <v>2</v>
      </c>
      <c r="AL91" s="28"/>
      <c r="AM91" s="28"/>
      <c r="AN91" s="28"/>
      <c r="AO91" s="28"/>
      <c r="AP91" s="28"/>
      <c r="AQ91" t="s" s="27">
        <v>265</v>
      </c>
      <c r="AR91" s="25">
        <v>1</v>
      </c>
      <c r="AS91" s="28"/>
      <c r="AT91" s="28"/>
      <c r="AU91" s="28"/>
      <c r="AV91" s="28"/>
      <c r="AW91" s="28"/>
      <c r="AX91" s="28"/>
      <c r="AY91" s="28"/>
      <c r="AZ91" s="28"/>
      <c r="BA91" s="28"/>
      <c r="BB91" s="25">
        <v>3</v>
      </c>
      <c r="BC91" s="28"/>
      <c r="BD91" s="28"/>
      <c r="BE91" s="28"/>
    </row>
    <row r="92" ht="13.55" customHeight="1">
      <c r="A92" s="25">
        <v>6600065283</v>
      </c>
      <c r="B92" s="25">
        <v>167721399</v>
      </c>
      <c r="C92" s="26">
        <v>43091.997766203713</v>
      </c>
      <c r="D92" s="26">
        <v>43091.998703703714</v>
      </c>
      <c r="E92" t="s" s="27">
        <v>266</v>
      </c>
      <c r="F92" s="28"/>
      <c r="G92" s="28"/>
      <c r="H92" s="28"/>
      <c r="I92" s="28"/>
      <c r="J92" s="25">
        <v>1</v>
      </c>
      <c r="K92" s="28"/>
      <c r="L92" s="28"/>
      <c r="M92" s="28"/>
      <c r="N92" s="28"/>
      <c r="O92" s="28"/>
      <c r="P92" s="25">
        <v>1</v>
      </c>
      <c r="Q92" s="28"/>
      <c r="R92" s="28"/>
      <c r="S92" s="25">
        <v>2</v>
      </c>
      <c r="T92" s="28"/>
      <c r="U92" s="28"/>
      <c r="V92" s="28"/>
      <c r="W92" s="28"/>
      <c r="X92" s="28"/>
      <c r="Y92" s="28"/>
      <c r="Z92" s="28"/>
      <c r="AA92" s="25">
        <v>4</v>
      </c>
      <c r="AB92" s="28"/>
      <c r="AC92" s="28"/>
      <c r="AD92" s="28"/>
      <c r="AE92" s="28"/>
      <c r="AF92" s="25">
        <v>3</v>
      </c>
      <c r="AG92" s="28"/>
      <c r="AH92" s="28"/>
      <c r="AI92" s="28"/>
      <c r="AJ92" s="25">
        <v>1</v>
      </c>
      <c r="AK92" s="28"/>
      <c r="AL92" s="28"/>
      <c r="AM92" s="28"/>
      <c r="AN92" s="28"/>
      <c r="AO92" s="28"/>
      <c r="AP92" s="28"/>
      <c r="AQ92" t="s" s="27">
        <v>267</v>
      </c>
      <c r="AR92" s="28"/>
      <c r="AS92" s="28"/>
      <c r="AT92" s="28"/>
      <c r="AU92" s="28"/>
      <c r="AV92" s="28"/>
      <c r="AW92" s="28"/>
      <c r="AX92" s="28"/>
      <c r="AY92" s="25">
        <v>8</v>
      </c>
      <c r="AZ92" s="28"/>
      <c r="BA92" s="28"/>
      <c r="BB92" s="25">
        <v>3</v>
      </c>
      <c r="BC92" s="28"/>
      <c r="BD92" s="28"/>
      <c r="BE92" s="28"/>
    </row>
    <row r="93" ht="13.55" customHeight="1">
      <c r="A93" s="25">
        <v>6600050392</v>
      </c>
      <c r="B93" s="25">
        <v>167721399</v>
      </c>
      <c r="C93" s="26">
        <v>43091.976550925923</v>
      </c>
      <c r="D93" s="26">
        <v>43091.977627314824</v>
      </c>
      <c r="E93" t="s" s="27">
        <v>268</v>
      </c>
      <c r="F93" s="28"/>
      <c r="G93" s="28"/>
      <c r="H93" s="28"/>
      <c r="I93" s="28"/>
      <c r="J93" s="25">
        <v>1</v>
      </c>
      <c r="K93" s="28"/>
      <c r="L93" s="28"/>
      <c r="M93" s="28"/>
      <c r="N93" s="28"/>
      <c r="O93" s="28"/>
      <c r="P93" s="25">
        <v>1</v>
      </c>
      <c r="Q93" s="28"/>
      <c r="R93" s="28"/>
      <c r="S93" s="28"/>
      <c r="T93" s="25">
        <v>3</v>
      </c>
      <c r="U93" s="28"/>
      <c r="V93" s="28"/>
      <c r="W93" s="28"/>
      <c r="X93" s="28"/>
      <c r="Y93" s="25">
        <v>2</v>
      </c>
      <c r="Z93" s="28"/>
      <c r="AA93" s="28"/>
      <c r="AB93" s="28"/>
      <c r="AC93" s="28"/>
      <c r="AD93" s="28"/>
      <c r="AE93" s="25">
        <v>2</v>
      </c>
      <c r="AF93" s="28"/>
      <c r="AG93" s="28"/>
      <c r="AH93" s="28"/>
      <c r="AI93" s="28"/>
      <c r="AJ93" s="25">
        <v>1</v>
      </c>
      <c r="AK93" s="28"/>
      <c r="AL93" s="28"/>
      <c r="AM93" s="28"/>
      <c r="AN93" s="28"/>
      <c r="AO93" s="28"/>
      <c r="AP93" s="28"/>
      <c r="AQ93" t="s" s="27">
        <v>269</v>
      </c>
      <c r="AR93" s="28"/>
      <c r="AS93" s="28"/>
      <c r="AT93" s="25">
        <v>3</v>
      </c>
      <c r="AU93" s="28"/>
      <c r="AV93" s="28"/>
      <c r="AW93" s="28"/>
      <c r="AX93" s="28"/>
      <c r="AY93" s="28"/>
      <c r="AZ93" s="28"/>
      <c r="BA93" s="28"/>
      <c r="BB93" s="28"/>
      <c r="BC93" s="25">
        <v>4</v>
      </c>
      <c r="BD93" s="28"/>
      <c r="BE93" s="28"/>
    </row>
    <row r="94" ht="13.55" customHeight="1">
      <c r="A94" s="25">
        <v>6600041847</v>
      </c>
      <c r="B94" s="25">
        <v>167721399</v>
      </c>
      <c r="C94" s="26">
        <v>43091.964340277780</v>
      </c>
      <c r="D94" s="26">
        <v>43091.965381944443</v>
      </c>
      <c r="E94" t="s" s="27">
        <v>270</v>
      </c>
      <c r="F94" s="28"/>
      <c r="G94" s="28"/>
      <c r="H94" s="28"/>
      <c r="I94" s="28"/>
      <c r="J94" s="28"/>
      <c r="K94" s="28"/>
      <c r="L94" s="25">
        <v>3</v>
      </c>
      <c r="M94" s="28"/>
      <c r="N94" s="28"/>
      <c r="O94" s="28"/>
      <c r="P94" s="25">
        <v>1</v>
      </c>
      <c r="Q94" s="28"/>
      <c r="R94" s="28"/>
      <c r="S94" s="28"/>
      <c r="T94" s="25">
        <v>3</v>
      </c>
      <c r="U94" s="28"/>
      <c r="V94" s="28"/>
      <c r="W94" s="28"/>
      <c r="X94" s="28"/>
      <c r="Y94" s="25">
        <v>2</v>
      </c>
      <c r="Z94" s="28"/>
      <c r="AA94" s="28"/>
      <c r="AB94" s="28"/>
      <c r="AC94" s="28"/>
      <c r="AD94" s="25">
        <v>1</v>
      </c>
      <c r="AE94" s="28"/>
      <c r="AF94" s="28"/>
      <c r="AG94" s="28"/>
      <c r="AH94" s="28"/>
      <c r="AI94" s="28"/>
      <c r="AJ94" s="25">
        <v>1</v>
      </c>
      <c r="AK94" s="28"/>
      <c r="AL94" s="28"/>
      <c r="AM94" s="28"/>
      <c r="AN94" s="28"/>
      <c r="AO94" s="28"/>
      <c r="AP94" s="25">
        <v>7</v>
      </c>
      <c r="AQ94" t="s" s="27">
        <v>271</v>
      </c>
      <c r="AR94" s="28"/>
      <c r="AS94" s="28"/>
      <c r="AT94" s="28"/>
      <c r="AU94" s="28"/>
      <c r="AV94" s="25">
        <v>5</v>
      </c>
      <c r="AW94" s="28"/>
      <c r="AX94" s="28"/>
      <c r="AY94" s="28"/>
      <c r="AZ94" s="28"/>
      <c r="BA94" s="28"/>
      <c r="BB94" s="25">
        <v>3</v>
      </c>
      <c r="BC94" s="28"/>
      <c r="BD94" s="28"/>
      <c r="BE94" s="28"/>
    </row>
    <row r="95" ht="13.55" customHeight="1">
      <c r="A95" s="25">
        <v>6600028243</v>
      </c>
      <c r="B95" s="25">
        <v>167721399</v>
      </c>
      <c r="C95" s="26">
        <v>43091.943518518521</v>
      </c>
      <c r="D95" s="26">
        <v>43091.944502314807</v>
      </c>
      <c r="E95" t="s" s="27">
        <v>272</v>
      </c>
      <c r="F95" s="28"/>
      <c r="G95" s="28"/>
      <c r="H95" s="28"/>
      <c r="I95" s="28"/>
      <c r="J95" s="28"/>
      <c r="K95" s="25">
        <v>2</v>
      </c>
      <c r="L95" s="28"/>
      <c r="M95" s="28"/>
      <c r="N95" s="28"/>
      <c r="O95" s="28"/>
      <c r="P95" s="25">
        <v>1</v>
      </c>
      <c r="Q95" s="28"/>
      <c r="R95" s="28"/>
      <c r="S95" s="25">
        <v>2</v>
      </c>
      <c r="T95" s="28"/>
      <c r="U95" s="28"/>
      <c r="V95" s="28"/>
      <c r="W95" s="28"/>
      <c r="X95" s="28"/>
      <c r="Y95" s="28"/>
      <c r="Z95" s="25">
        <v>3</v>
      </c>
      <c r="AA95" s="28"/>
      <c r="AB95" s="28"/>
      <c r="AC95" s="28"/>
      <c r="AD95" s="28"/>
      <c r="AE95" s="25">
        <v>2</v>
      </c>
      <c r="AF95" s="28"/>
      <c r="AG95" s="28"/>
      <c r="AH95" s="28"/>
      <c r="AI95" s="28"/>
      <c r="AJ95" s="25">
        <v>1</v>
      </c>
      <c r="AK95" s="28"/>
      <c r="AL95" s="28"/>
      <c r="AM95" s="28"/>
      <c r="AN95" s="28"/>
      <c r="AO95" s="28"/>
      <c r="AP95" s="28"/>
      <c r="AQ95" t="s" s="27">
        <v>273</v>
      </c>
      <c r="AR95" s="28"/>
      <c r="AS95" s="25">
        <v>2</v>
      </c>
      <c r="AT95" s="28"/>
      <c r="AU95" s="28"/>
      <c r="AV95" s="28"/>
      <c r="AW95" s="28"/>
      <c r="AX95" s="28"/>
      <c r="AY95" s="28"/>
      <c r="AZ95" s="28"/>
      <c r="BA95" s="28"/>
      <c r="BB95" s="25">
        <v>3</v>
      </c>
      <c r="BC95" s="28"/>
      <c r="BD95" s="28"/>
      <c r="BE95" s="28"/>
    </row>
    <row r="96" ht="13.55" customHeight="1">
      <c r="A96" s="25">
        <v>6600026016</v>
      </c>
      <c r="B96" s="25">
        <v>167721399</v>
      </c>
      <c r="C96" s="26">
        <v>43091.940023148149</v>
      </c>
      <c r="D96" s="26">
        <v>43091.940833333327</v>
      </c>
      <c r="E96" t="s" s="27">
        <v>274</v>
      </c>
      <c r="F96" s="28"/>
      <c r="G96" s="28"/>
      <c r="H96" s="28"/>
      <c r="I96" s="28"/>
      <c r="J96" s="28"/>
      <c r="K96" s="28"/>
      <c r="L96" s="25">
        <v>3</v>
      </c>
      <c r="M96" s="28"/>
      <c r="N96" s="28"/>
      <c r="O96" s="28"/>
      <c r="P96" s="25">
        <v>1</v>
      </c>
      <c r="Q96" s="28"/>
      <c r="R96" s="28"/>
      <c r="S96" s="28"/>
      <c r="T96" s="25">
        <v>3</v>
      </c>
      <c r="U96" s="28"/>
      <c r="V96" s="28"/>
      <c r="W96" s="28"/>
      <c r="X96" s="28"/>
      <c r="Y96" s="25">
        <v>2</v>
      </c>
      <c r="Z96" s="28"/>
      <c r="AA96" s="28"/>
      <c r="AB96" s="28"/>
      <c r="AC96" s="28"/>
      <c r="AD96" s="28"/>
      <c r="AE96" s="25">
        <v>2</v>
      </c>
      <c r="AF96" s="28"/>
      <c r="AG96" s="28"/>
      <c r="AH96" s="28"/>
      <c r="AI96" s="28"/>
      <c r="AJ96" s="25">
        <v>1</v>
      </c>
      <c r="AK96" s="28"/>
      <c r="AL96" s="28"/>
      <c r="AM96" s="28"/>
      <c r="AN96" s="28"/>
      <c r="AO96" s="25">
        <v>6</v>
      </c>
      <c r="AP96" s="28"/>
      <c r="AQ96" t="s" s="27">
        <v>275</v>
      </c>
      <c r="AR96" s="28"/>
      <c r="AS96" s="28"/>
      <c r="AT96" s="25">
        <v>3</v>
      </c>
      <c r="AU96" s="28"/>
      <c r="AV96" s="28"/>
      <c r="AW96" s="28"/>
      <c r="AX96" s="28"/>
      <c r="AY96" s="28"/>
      <c r="AZ96" s="28"/>
      <c r="BA96" s="28"/>
      <c r="BB96" s="25">
        <v>3</v>
      </c>
      <c r="BC96" s="28"/>
      <c r="BD96" s="28"/>
      <c r="BE96" s="28"/>
    </row>
    <row r="97" ht="13.55" customHeight="1">
      <c r="A97" s="25">
        <v>6600021488</v>
      </c>
      <c r="B97" s="25">
        <v>167721399</v>
      </c>
      <c r="C97" s="26">
        <v>43091.9329050926</v>
      </c>
      <c r="D97" s="26">
        <v>43091.933784722220</v>
      </c>
      <c r="E97" t="s" s="27">
        <v>276</v>
      </c>
      <c r="F97" s="28"/>
      <c r="G97" s="28"/>
      <c r="H97" s="28"/>
      <c r="I97" s="28"/>
      <c r="J97" s="28"/>
      <c r="K97" s="28"/>
      <c r="L97" s="25">
        <v>3</v>
      </c>
      <c r="M97" s="28"/>
      <c r="N97" s="28"/>
      <c r="O97" s="28"/>
      <c r="P97" s="25">
        <v>1</v>
      </c>
      <c r="Q97" s="28"/>
      <c r="R97" s="28"/>
      <c r="S97" s="25">
        <v>2</v>
      </c>
      <c r="T97" s="28"/>
      <c r="U97" s="28"/>
      <c r="V97" s="28"/>
      <c r="W97" s="28"/>
      <c r="X97" s="28"/>
      <c r="Y97" s="25">
        <v>2</v>
      </c>
      <c r="Z97" s="28"/>
      <c r="AA97" s="28"/>
      <c r="AB97" s="28"/>
      <c r="AC97" s="28"/>
      <c r="AD97" s="25">
        <v>1</v>
      </c>
      <c r="AE97" s="28"/>
      <c r="AF97" s="28"/>
      <c r="AG97" s="28"/>
      <c r="AH97" s="28"/>
      <c r="AI97" s="28"/>
      <c r="AJ97" s="25">
        <v>1</v>
      </c>
      <c r="AK97" s="28"/>
      <c r="AL97" s="28"/>
      <c r="AM97" s="28"/>
      <c r="AN97" s="28"/>
      <c r="AO97" s="28"/>
      <c r="AP97" s="28"/>
      <c r="AQ97" t="s" s="27">
        <v>277</v>
      </c>
      <c r="AR97" s="28"/>
      <c r="AS97" s="28"/>
      <c r="AT97" s="28"/>
      <c r="AU97" s="28"/>
      <c r="AV97" s="28"/>
      <c r="AW97" s="28"/>
      <c r="AX97" s="28"/>
      <c r="AY97" s="25">
        <v>8</v>
      </c>
      <c r="AZ97" s="28"/>
      <c r="BA97" s="28"/>
      <c r="BB97" s="25">
        <v>3</v>
      </c>
      <c r="BC97" s="28"/>
      <c r="BD97" s="28"/>
      <c r="BE97" s="28"/>
    </row>
    <row r="98" ht="13.55" customHeight="1">
      <c r="A98" s="29">
        <v>6600020578</v>
      </c>
      <c r="B98" s="29">
        <v>167721399</v>
      </c>
      <c r="C98" s="30">
        <v>43091.931574074071</v>
      </c>
      <c r="D98" s="30">
        <v>43091.932233796288</v>
      </c>
      <c r="E98" t="s" s="31">
        <v>278</v>
      </c>
      <c r="F98" s="32"/>
      <c r="G98" s="32"/>
      <c r="H98" s="32"/>
      <c r="I98" s="32"/>
      <c r="J98" s="32"/>
      <c r="K98" s="29">
        <v>2</v>
      </c>
      <c r="L98" s="32"/>
      <c r="M98" s="32"/>
      <c r="N98" s="32"/>
      <c r="O98" s="32"/>
      <c r="P98" s="29">
        <v>1</v>
      </c>
      <c r="Q98" s="32"/>
      <c r="R98" s="32"/>
      <c r="S98" s="29">
        <v>2</v>
      </c>
      <c r="T98" s="32"/>
      <c r="U98" s="32"/>
      <c r="V98" s="32"/>
      <c r="W98" s="32"/>
      <c r="X98" s="32"/>
      <c r="Y98" s="29">
        <v>2</v>
      </c>
      <c r="Z98" s="32"/>
      <c r="AA98" s="32"/>
      <c r="AB98" s="32"/>
      <c r="AC98" s="32"/>
      <c r="AD98" s="32"/>
      <c r="AE98" s="29">
        <v>2</v>
      </c>
      <c r="AF98" s="32"/>
      <c r="AG98" s="32"/>
      <c r="AH98" s="32"/>
      <c r="AI98" s="32"/>
      <c r="AJ98" s="32"/>
      <c r="AK98" s="32"/>
      <c r="AL98" s="32"/>
      <c r="AM98" s="32"/>
      <c r="AN98" s="32"/>
      <c r="AO98" s="29">
        <v>6</v>
      </c>
      <c r="AP98" s="32"/>
      <c r="AQ98" t="s" s="31">
        <v>279</v>
      </c>
      <c r="AR98" s="32"/>
      <c r="AS98" s="29">
        <v>2</v>
      </c>
      <c r="AT98" s="32"/>
      <c r="AU98" s="32"/>
      <c r="AV98" s="32"/>
      <c r="AW98" s="32"/>
      <c r="AX98" s="32"/>
      <c r="AY98" s="32"/>
      <c r="AZ98" s="32"/>
      <c r="BA98" s="32"/>
      <c r="BB98" s="29">
        <v>3</v>
      </c>
      <c r="BC98" s="32"/>
      <c r="BD98" s="32"/>
      <c r="BE98" s="32"/>
    </row>
    <row r="99" ht="15" customHeight="1">
      <c r="A99" s="15">
        <v>6600016130</v>
      </c>
      <c r="B99" s="16">
        <v>167721399</v>
      </c>
      <c r="C99" s="17">
        <v>43091.924108796287</v>
      </c>
      <c r="D99" s="17">
        <v>43091.924837962957</v>
      </c>
      <c r="E99" t="s" s="18">
        <v>280</v>
      </c>
      <c r="F99" s="19"/>
      <c r="G99" s="19"/>
      <c r="H99" s="19"/>
      <c r="I99" s="19"/>
      <c r="J99" s="19"/>
      <c r="K99" s="16">
        <v>2</v>
      </c>
      <c r="L99" s="19"/>
      <c r="M99" s="19"/>
      <c r="N99" s="19"/>
      <c r="O99" s="19"/>
      <c r="P99" s="16">
        <v>1</v>
      </c>
      <c r="Q99" s="19"/>
      <c r="R99" s="19"/>
      <c r="S99" s="19"/>
      <c r="T99" s="19"/>
      <c r="U99" s="16">
        <v>4</v>
      </c>
      <c r="V99" s="19"/>
      <c r="W99" s="19"/>
      <c r="X99" s="19"/>
      <c r="Y99" s="19"/>
      <c r="Z99" s="19"/>
      <c r="AA99" s="19"/>
      <c r="AB99" s="16">
        <v>5</v>
      </c>
      <c r="AC99" s="19"/>
      <c r="AD99" s="19"/>
      <c r="AE99" s="19"/>
      <c r="AF99" s="19"/>
      <c r="AG99" s="16">
        <v>4</v>
      </c>
      <c r="AH99" s="19"/>
      <c r="AI99" s="19"/>
      <c r="AJ99" s="16">
        <v>1</v>
      </c>
      <c r="AK99" s="16">
        <v>2</v>
      </c>
      <c r="AL99" s="19"/>
      <c r="AM99" s="19"/>
      <c r="AN99" s="19"/>
      <c r="AO99" s="16">
        <v>6</v>
      </c>
      <c r="AP99" s="19"/>
      <c r="AQ99" s="19"/>
      <c r="AR99" s="19"/>
      <c r="AS99" s="19"/>
      <c r="AT99" s="19"/>
      <c r="AU99" s="16">
        <v>4</v>
      </c>
      <c r="AV99" s="19"/>
      <c r="AW99" s="19"/>
      <c r="AX99" s="19"/>
      <c r="AY99" s="19"/>
      <c r="AZ99" s="16">
        <v>1</v>
      </c>
      <c r="BA99" s="19"/>
      <c r="BB99" s="19"/>
      <c r="BC99" s="19"/>
      <c r="BD99" s="19"/>
      <c r="BE99" t="s" s="20">
        <v>281</v>
      </c>
    </row>
    <row r="100" ht="13.55" customHeight="1">
      <c r="A100" s="21">
        <v>6600007520</v>
      </c>
      <c r="B100" s="21">
        <v>167721399</v>
      </c>
      <c r="C100" s="22">
        <v>43091.910787037043</v>
      </c>
      <c r="D100" s="22">
        <v>43091.911689814813</v>
      </c>
      <c r="E100" t="s" s="23">
        <v>282</v>
      </c>
      <c r="F100" s="24"/>
      <c r="G100" s="24"/>
      <c r="H100" s="24"/>
      <c r="I100" s="24"/>
      <c r="J100" s="24"/>
      <c r="K100" s="21">
        <v>2</v>
      </c>
      <c r="L100" s="24"/>
      <c r="M100" s="24"/>
      <c r="N100" s="24"/>
      <c r="O100" s="24"/>
      <c r="P100" s="21">
        <v>1</v>
      </c>
      <c r="Q100" s="24"/>
      <c r="R100" s="24"/>
      <c r="S100" s="21">
        <v>2</v>
      </c>
      <c r="T100" s="24"/>
      <c r="U100" s="24"/>
      <c r="V100" s="24"/>
      <c r="W100" s="24"/>
      <c r="X100" s="24"/>
      <c r="Y100" s="21">
        <v>2</v>
      </c>
      <c r="Z100" s="24"/>
      <c r="AA100" s="24"/>
      <c r="AB100" s="24"/>
      <c r="AC100" s="24"/>
      <c r="AD100" s="24"/>
      <c r="AE100" s="21">
        <v>2</v>
      </c>
      <c r="AF100" s="24"/>
      <c r="AG100" s="24"/>
      <c r="AH100" s="24"/>
      <c r="AI100" s="24"/>
      <c r="AJ100" s="21">
        <v>1</v>
      </c>
      <c r="AK100" s="24"/>
      <c r="AL100" s="24"/>
      <c r="AM100" s="24"/>
      <c r="AN100" s="21">
        <v>5</v>
      </c>
      <c r="AO100" s="24"/>
      <c r="AP100" s="24"/>
      <c r="AQ100" t="s" s="23">
        <v>283</v>
      </c>
      <c r="AR100" s="24"/>
      <c r="AS100" s="24"/>
      <c r="AT100" s="21">
        <v>3</v>
      </c>
      <c r="AU100" s="24"/>
      <c r="AV100" s="24"/>
      <c r="AW100" s="24"/>
      <c r="AX100" s="24"/>
      <c r="AY100" s="24"/>
      <c r="AZ100" s="24"/>
      <c r="BA100" s="24"/>
      <c r="BB100" s="21">
        <v>3</v>
      </c>
      <c r="BC100" s="24"/>
      <c r="BD100" s="24"/>
      <c r="BE100" s="24"/>
    </row>
    <row r="101" ht="13.55" customHeight="1">
      <c r="A101" s="25">
        <v>6600006182</v>
      </c>
      <c r="B101" s="25">
        <v>167721399</v>
      </c>
      <c r="C101" s="26">
        <v>43091.9090162037</v>
      </c>
      <c r="D101" s="26">
        <v>43091.910023148150</v>
      </c>
      <c r="E101" t="s" s="27">
        <v>284</v>
      </c>
      <c r="F101" s="28"/>
      <c r="G101" s="28"/>
      <c r="H101" s="28"/>
      <c r="I101" s="28"/>
      <c r="J101" s="28"/>
      <c r="K101" s="28"/>
      <c r="L101" s="25">
        <v>3</v>
      </c>
      <c r="M101" s="28"/>
      <c r="N101" s="28"/>
      <c r="O101" s="28"/>
      <c r="P101" s="25">
        <v>1</v>
      </c>
      <c r="Q101" s="28"/>
      <c r="R101" s="28"/>
      <c r="S101" s="28"/>
      <c r="T101" s="28"/>
      <c r="U101" s="25">
        <v>4</v>
      </c>
      <c r="V101" s="28"/>
      <c r="W101" s="28"/>
      <c r="X101" s="28"/>
      <c r="Y101" s="28"/>
      <c r="Z101" s="25">
        <v>3</v>
      </c>
      <c r="AA101" s="28"/>
      <c r="AB101" s="28"/>
      <c r="AC101" s="28"/>
      <c r="AD101" s="28"/>
      <c r="AE101" s="25">
        <v>2</v>
      </c>
      <c r="AF101" s="28"/>
      <c r="AG101" s="28"/>
      <c r="AH101" s="28"/>
      <c r="AI101" s="28"/>
      <c r="AJ101" s="25">
        <v>1</v>
      </c>
      <c r="AK101" s="28"/>
      <c r="AL101" s="28"/>
      <c r="AM101" s="28"/>
      <c r="AN101" s="28"/>
      <c r="AO101" s="28"/>
      <c r="AP101" s="28"/>
      <c r="AQ101" t="s" s="27">
        <v>285</v>
      </c>
      <c r="AR101" s="28"/>
      <c r="AS101" s="25">
        <v>2</v>
      </c>
      <c r="AT101" s="28"/>
      <c r="AU101" s="28"/>
      <c r="AV101" s="28"/>
      <c r="AW101" s="28"/>
      <c r="AX101" s="28"/>
      <c r="AY101" s="28"/>
      <c r="AZ101" s="28"/>
      <c r="BA101" s="28"/>
      <c r="BB101" s="25">
        <v>3</v>
      </c>
      <c r="BC101" s="28"/>
      <c r="BD101" s="28"/>
      <c r="BE101" s="28"/>
    </row>
    <row r="102" ht="13.55" customHeight="1">
      <c r="A102" s="25">
        <v>6599997772</v>
      </c>
      <c r="B102" s="25">
        <v>167721399</v>
      </c>
      <c r="C102" s="26">
        <v>43091.896631944437</v>
      </c>
      <c r="D102" s="26">
        <v>43091.897418981483</v>
      </c>
      <c r="E102" t="s" s="27">
        <v>286</v>
      </c>
      <c r="F102" s="28"/>
      <c r="G102" s="28"/>
      <c r="H102" s="28"/>
      <c r="I102" s="28"/>
      <c r="J102" s="28"/>
      <c r="K102" s="25">
        <v>2</v>
      </c>
      <c r="L102" s="28"/>
      <c r="M102" s="28"/>
      <c r="N102" s="28"/>
      <c r="O102" s="28"/>
      <c r="P102" s="25">
        <v>1</v>
      </c>
      <c r="Q102" s="28"/>
      <c r="R102" s="28"/>
      <c r="S102" s="25">
        <v>2</v>
      </c>
      <c r="T102" s="28"/>
      <c r="U102" s="28"/>
      <c r="V102" s="28"/>
      <c r="W102" s="28"/>
      <c r="X102" s="28"/>
      <c r="Y102" s="25">
        <v>2</v>
      </c>
      <c r="Z102" s="28"/>
      <c r="AA102" s="28"/>
      <c r="AB102" s="28"/>
      <c r="AC102" s="28"/>
      <c r="AD102" s="25">
        <v>1</v>
      </c>
      <c r="AE102" s="28"/>
      <c r="AF102" s="28"/>
      <c r="AG102" s="28"/>
      <c r="AH102" s="28"/>
      <c r="AI102" s="28"/>
      <c r="AJ102" s="25">
        <v>1</v>
      </c>
      <c r="AK102" s="28"/>
      <c r="AL102" s="28"/>
      <c r="AM102" s="28"/>
      <c r="AN102" s="28"/>
      <c r="AO102" s="28"/>
      <c r="AP102" s="28"/>
      <c r="AQ102" t="s" s="27">
        <v>287</v>
      </c>
      <c r="AR102" s="28"/>
      <c r="AS102" s="28"/>
      <c r="AT102" s="25">
        <v>3</v>
      </c>
      <c r="AU102" s="28"/>
      <c r="AV102" s="28"/>
      <c r="AW102" s="28"/>
      <c r="AX102" s="28"/>
      <c r="AY102" s="28"/>
      <c r="AZ102" s="28"/>
      <c r="BA102" s="28"/>
      <c r="BB102" s="25">
        <v>3</v>
      </c>
      <c r="BC102" s="28"/>
      <c r="BD102" s="28"/>
      <c r="BE102" s="28"/>
    </row>
    <row r="103" ht="13.55" customHeight="1">
      <c r="A103" s="25">
        <v>6599995496</v>
      </c>
      <c r="B103" s="25">
        <v>167721399</v>
      </c>
      <c r="C103" s="26">
        <v>43091.893344907410</v>
      </c>
      <c r="D103" s="26">
        <v>43091.894490740742</v>
      </c>
      <c r="E103" t="s" s="27">
        <v>288</v>
      </c>
      <c r="F103" s="28"/>
      <c r="G103" s="28"/>
      <c r="H103" s="28"/>
      <c r="I103" s="28"/>
      <c r="J103" s="28"/>
      <c r="K103" s="28"/>
      <c r="L103" s="25">
        <v>3</v>
      </c>
      <c r="M103" s="28"/>
      <c r="N103" s="28"/>
      <c r="O103" s="28"/>
      <c r="P103" s="25">
        <v>1</v>
      </c>
      <c r="Q103" s="28"/>
      <c r="R103" s="28"/>
      <c r="S103" s="25">
        <v>2</v>
      </c>
      <c r="T103" s="28"/>
      <c r="U103" s="28"/>
      <c r="V103" s="28"/>
      <c r="W103" s="28"/>
      <c r="X103" s="28"/>
      <c r="Y103" s="28"/>
      <c r="Z103" s="25">
        <v>3</v>
      </c>
      <c r="AA103" s="28"/>
      <c r="AB103" s="28"/>
      <c r="AC103" s="28"/>
      <c r="AD103" s="28"/>
      <c r="AE103" s="25">
        <v>2</v>
      </c>
      <c r="AF103" s="28"/>
      <c r="AG103" s="28"/>
      <c r="AH103" s="28"/>
      <c r="AI103" s="28"/>
      <c r="AJ103" s="25">
        <v>1</v>
      </c>
      <c r="AK103" s="28"/>
      <c r="AL103" s="28"/>
      <c r="AM103" s="28"/>
      <c r="AN103" s="28"/>
      <c r="AO103" s="28"/>
      <c r="AP103" s="28"/>
      <c r="AQ103" t="s" s="27">
        <v>289</v>
      </c>
      <c r="AR103" s="28"/>
      <c r="AS103" s="28"/>
      <c r="AT103" s="28"/>
      <c r="AU103" s="28"/>
      <c r="AV103" s="28"/>
      <c r="AW103" s="28"/>
      <c r="AX103" s="25">
        <v>7</v>
      </c>
      <c r="AY103" s="28"/>
      <c r="AZ103" s="28"/>
      <c r="BA103" s="28"/>
      <c r="BB103" s="25">
        <v>3</v>
      </c>
      <c r="BC103" s="28"/>
      <c r="BD103" s="28"/>
      <c r="BE103" s="28"/>
    </row>
    <row r="104" ht="13.55" customHeight="1">
      <c r="A104" s="25">
        <v>6599994090</v>
      </c>
      <c r="B104" s="25">
        <v>167721399</v>
      </c>
      <c r="C104" s="26">
        <v>43091.890752314823</v>
      </c>
      <c r="D104" s="26">
        <v>43091.892696759263</v>
      </c>
      <c r="E104" t="s" s="27">
        <v>290</v>
      </c>
      <c r="F104" s="28"/>
      <c r="G104" s="28"/>
      <c r="H104" s="28"/>
      <c r="I104" s="28"/>
      <c r="J104" s="28"/>
      <c r="K104" s="25">
        <v>2</v>
      </c>
      <c r="L104" s="28"/>
      <c r="M104" s="28"/>
      <c r="N104" s="28"/>
      <c r="O104" s="28"/>
      <c r="P104" s="28"/>
      <c r="Q104" s="25">
        <v>2</v>
      </c>
      <c r="R104" s="28"/>
      <c r="S104" s="25">
        <v>2</v>
      </c>
      <c r="T104" s="28"/>
      <c r="U104" s="28"/>
      <c r="V104" s="28"/>
      <c r="W104" s="28"/>
      <c r="X104" s="28"/>
      <c r="Y104" s="28"/>
      <c r="Z104" s="25">
        <v>3</v>
      </c>
      <c r="AA104" s="28"/>
      <c r="AB104" s="28"/>
      <c r="AC104" s="28"/>
      <c r="AD104" s="28"/>
      <c r="AE104" s="25">
        <v>2</v>
      </c>
      <c r="AF104" s="28"/>
      <c r="AG104" s="28"/>
      <c r="AH104" s="28"/>
      <c r="AI104" s="28"/>
      <c r="AJ104" s="28"/>
      <c r="AK104" s="28"/>
      <c r="AL104" s="28"/>
      <c r="AM104" s="28"/>
      <c r="AN104" s="25">
        <v>5</v>
      </c>
      <c r="AO104" s="28"/>
      <c r="AP104" s="28"/>
      <c r="AQ104" t="s" s="27">
        <v>291</v>
      </c>
      <c r="AR104" s="28"/>
      <c r="AS104" s="28"/>
      <c r="AT104" s="28"/>
      <c r="AU104" s="28"/>
      <c r="AV104" s="28"/>
      <c r="AW104" s="28"/>
      <c r="AX104" s="28"/>
      <c r="AY104" s="25">
        <v>8</v>
      </c>
      <c r="AZ104" s="28"/>
      <c r="BA104" s="28"/>
      <c r="BB104" s="28"/>
      <c r="BC104" s="25">
        <v>4</v>
      </c>
      <c r="BD104" s="28"/>
      <c r="BE104" t="s" s="27">
        <v>292</v>
      </c>
    </row>
    <row r="105" ht="13.55" customHeight="1">
      <c r="A105" s="25">
        <v>6599987592</v>
      </c>
      <c r="B105" s="25">
        <v>167721399</v>
      </c>
      <c r="C105" s="26">
        <v>43091.883877314824</v>
      </c>
      <c r="D105" s="26">
        <v>43091.885034722232</v>
      </c>
      <c r="E105" t="s" s="27">
        <v>293</v>
      </c>
      <c r="F105" s="28"/>
      <c r="G105" s="28"/>
      <c r="H105" s="28"/>
      <c r="I105" s="28"/>
      <c r="J105" s="28"/>
      <c r="K105" s="28"/>
      <c r="L105" s="25">
        <v>3</v>
      </c>
      <c r="M105" s="28"/>
      <c r="N105" s="28"/>
      <c r="O105" s="28"/>
      <c r="P105" s="25">
        <v>1</v>
      </c>
      <c r="Q105" s="28"/>
      <c r="R105" s="28"/>
      <c r="S105" s="25">
        <v>2</v>
      </c>
      <c r="T105" s="28"/>
      <c r="U105" s="28"/>
      <c r="V105" s="28"/>
      <c r="W105" s="28"/>
      <c r="X105" s="28"/>
      <c r="Y105" s="28"/>
      <c r="Z105" s="25">
        <v>3</v>
      </c>
      <c r="AA105" s="28"/>
      <c r="AB105" s="28"/>
      <c r="AC105" s="28"/>
      <c r="AD105" s="28"/>
      <c r="AE105" s="25">
        <v>2</v>
      </c>
      <c r="AF105" s="28"/>
      <c r="AG105" s="28"/>
      <c r="AH105" s="28"/>
      <c r="AI105" s="28"/>
      <c r="AJ105" s="25">
        <v>1</v>
      </c>
      <c r="AK105" s="25">
        <v>2</v>
      </c>
      <c r="AL105" s="28"/>
      <c r="AM105" s="28"/>
      <c r="AN105" s="28"/>
      <c r="AO105" s="28"/>
      <c r="AP105" s="25">
        <v>7</v>
      </c>
      <c r="AQ105" t="s" s="27">
        <v>294</v>
      </c>
      <c r="AR105" s="28"/>
      <c r="AS105" s="28"/>
      <c r="AT105" s="25">
        <v>3</v>
      </c>
      <c r="AU105" s="28"/>
      <c r="AV105" s="28"/>
      <c r="AW105" s="28"/>
      <c r="AX105" s="28"/>
      <c r="AY105" s="28"/>
      <c r="AZ105" s="28"/>
      <c r="BA105" s="28"/>
      <c r="BB105" s="25">
        <v>3</v>
      </c>
      <c r="BC105" s="28"/>
      <c r="BD105" s="28"/>
      <c r="BE105" s="28"/>
    </row>
    <row r="106" ht="13.55" customHeight="1">
      <c r="A106" s="25">
        <v>6599982768</v>
      </c>
      <c r="B106" s="25">
        <v>167721399</v>
      </c>
      <c r="C106" s="26">
        <v>43091.879085648150</v>
      </c>
      <c r="D106" s="26">
        <v>43091.880300925928</v>
      </c>
      <c r="E106" t="s" s="27">
        <v>295</v>
      </c>
      <c r="F106" s="28"/>
      <c r="G106" s="28"/>
      <c r="H106" s="28"/>
      <c r="I106" s="28"/>
      <c r="J106" s="28"/>
      <c r="K106" s="28"/>
      <c r="L106" s="25">
        <v>3</v>
      </c>
      <c r="M106" s="28"/>
      <c r="N106" s="28"/>
      <c r="O106" s="28"/>
      <c r="P106" s="28"/>
      <c r="Q106" s="25">
        <v>2</v>
      </c>
      <c r="R106" s="28"/>
      <c r="S106" s="28"/>
      <c r="T106" s="28"/>
      <c r="U106" s="28"/>
      <c r="V106" s="25">
        <v>5</v>
      </c>
      <c r="W106" s="28"/>
      <c r="X106" s="28"/>
      <c r="Y106" s="28"/>
      <c r="Z106" s="28"/>
      <c r="AA106" s="25">
        <v>4</v>
      </c>
      <c r="AB106" s="28"/>
      <c r="AC106" s="28"/>
      <c r="AD106" s="28"/>
      <c r="AE106" s="25">
        <v>2</v>
      </c>
      <c r="AF106" s="28"/>
      <c r="AG106" s="28"/>
      <c r="AH106" s="28"/>
      <c r="AI106" s="28"/>
      <c r="AJ106" s="25">
        <v>1</v>
      </c>
      <c r="AK106" s="28"/>
      <c r="AL106" s="28"/>
      <c r="AM106" s="28"/>
      <c r="AN106" s="28"/>
      <c r="AO106" s="28"/>
      <c r="AP106" s="28"/>
      <c r="AQ106" t="s" s="27">
        <v>296</v>
      </c>
      <c r="AR106" s="28"/>
      <c r="AS106" s="28"/>
      <c r="AT106" s="25">
        <v>3</v>
      </c>
      <c r="AU106" s="28"/>
      <c r="AV106" s="28"/>
      <c r="AW106" s="28"/>
      <c r="AX106" s="28"/>
      <c r="AY106" s="28"/>
      <c r="AZ106" s="28"/>
      <c r="BA106" s="28"/>
      <c r="BB106" s="25">
        <v>3</v>
      </c>
      <c r="BC106" s="28"/>
      <c r="BD106" s="28"/>
      <c r="BE106" s="28"/>
    </row>
    <row r="107" ht="13.55" customHeight="1">
      <c r="A107" s="25">
        <v>6599979520</v>
      </c>
      <c r="B107" s="25">
        <v>167721399</v>
      </c>
      <c r="C107" s="26">
        <v>43091.875335648147</v>
      </c>
      <c r="D107" s="26">
        <v>43091.8762037037</v>
      </c>
      <c r="E107" t="s" s="27">
        <v>297</v>
      </c>
      <c r="F107" s="28"/>
      <c r="G107" s="28"/>
      <c r="H107" s="28"/>
      <c r="I107" s="28"/>
      <c r="J107" s="28"/>
      <c r="K107" s="25">
        <v>2</v>
      </c>
      <c r="L107" s="28"/>
      <c r="M107" s="28"/>
      <c r="N107" s="28"/>
      <c r="O107" s="28"/>
      <c r="P107" s="25">
        <v>1</v>
      </c>
      <c r="Q107" s="28"/>
      <c r="R107" s="28"/>
      <c r="S107" s="28"/>
      <c r="T107" s="25">
        <v>3</v>
      </c>
      <c r="U107" s="28"/>
      <c r="V107" s="28"/>
      <c r="W107" s="28"/>
      <c r="X107" s="28"/>
      <c r="Y107" s="28"/>
      <c r="Z107" s="25">
        <v>3</v>
      </c>
      <c r="AA107" s="28"/>
      <c r="AB107" s="28"/>
      <c r="AC107" s="28"/>
      <c r="AD107" s="28"/>
      <c r="AE107" s="25">
        <v>2</v>
      </c>
      <c r="AF107" s="28"/>
      <c r="AG107" s="28"/>
      <c r="AH107" s="28"/>
      <c r="AI107" s="28"/>
      <c r="AJ107" s="28"/>
      <c r="AK107" s="28"/>
      <c r="AL107" s="28"/>
      <c r="AM107" s="28"/>
      <c r="AN107" s="28"/>
      <c r="AO107" s="25">
        <v>6</v>
      </c>
      <c r="AP107" s="28"/>
      <c r="AQ107" t="s" s="27">
        <v>298</v>
      </c>
      <c r="AR107" s="25">
        <v>1</v>
      </c>
      <c r="AS107" s="28"/>
      <c r="AT107" s="28"/>
      <c r="AU107" s="28"/>
      <c r="AV107" s="28"/>
      <c r="AW107" s="28"/>
      <c r="AX107" s="28"/>
      <c r="AY107" s="28"/>
      <c r="AZ107" s="28"/>
      <c r="BA107" s="28"/>
      <c r="BB107" s="25">
        <v>3</v>
      </c>
      <c r="BC107" s="28"/>
      <c r="BD107" s="28"/>
      <c r="BE107" s="28"/>
    </row>
    <row r="108" ht="13.55" customHeight="1">
      <c r="A108" s="25">
        <v>6599970590</v>
      </c>
      <c r="B108" s="25">
        <v>167721399</v>
      </c>
      <c r="C108" s="26">
        <v>43091.863148148150</v>
      </c>
      <c r="D108" s="26">
        <v>43091.863854166673</v>
      </c>
      <c r="E108" t="s" s="27">
        <v>299</v>
      </c>
      <c r="F108" s="28"/>
      <c r="G108" s="28"/>
      <c r="H108" s="28"/>
      <c r="I108" s="28"/>
      <c r="J108" s="28"/>
      <c r="K108" s="25">
        <v>2</v>
      </c>
      <c r="L108" s="28"/>
      <c r="M108" s="28"/>
      <c r="N108" s="28"/>
      <c r="O108" s="28"/>
      <c r="P108" s="25">
        <v>1</v>
      </c>
      <c r="Q108" s="28"/>
      <c r="R108" s="28"/>
      <c r="S108" s="25">
        <v>2</v>
      </c>
      <c r="T108" s="28"/>
      <c r="U108" s="28"/>
      <c r="V108" s="28"/>
      <c r="W108" s="28"/>
      <c r="X108" s="28"/>
      <c r="Y108" s="25">
        <v>2</v>
      </c>
      <c r="Z108" s="28"/>
      <c r="AA108" s="28"/>
      <c r="AB108" s="28"/>
      <c r="AC108" s="28"/>
      <c r="AD108" s="28"/>
      <c r="AE108" s="25">
        <v>2</v>
      </c>
      <c r="AF108" s="28"/>
      <c r="AG108" s="28"/>
      <c r="AH108" s="28"/>
      <c r="AI108" s="28"/>
      <c r="AJ108" s="25">
        <v>1</v>
      </c>
      <c r="AK108" s="28"/>
      <c r="AL108" s="28"/>
      <c r="AM108" s="28"/>
      <c r="AN108" s="25">
        <v>5</v>
      </c>
      <c r="AO108" s="28"/>
      <c r="AP108" s="28"/>
      <c r="AQ108" t="s" s="27">
        <v>300</v>
      </c>
      <c r="AR108" s="28"/>
      <c r="AS108" s="25">
        <v>2</v>
      </c>
      <c r="AT108" s="28"/>
      <c r="AU108" s="28"/>
      <c r="AV108" s="28"/>
      <c r="AW108" s="28"/>
      <c r="AX108" s="28"/>
      <c r="AY108" s="28"/>
      <c r="AZ108" s="28"/>
      <c r="BA108" s="28"/>
      <c r="BB108" s="28"/>
      <c r="BC108" s="25">
        <v>4</v>
      </c>
      <c r="BD108" s="28"/>
      <c r="BE108" s="28"/>
    </row>
    <row r="109" ht="13.55" customHeight="1">
      <c r="A109" s="25">
        <v>6599967826</v>
      </c>
      <c r="B109" s="25">
        <v>167721399</v>
      </c>
      <c r="C109" s="26">
        <v>43091.858773148153</v>
      </c>
      <c r="D109" s="26">
        <v>43091.860104166670</v>
      </c>
      <c r="E109" t="s" s="27">
        <v>301</v>
      </c>
      <c r="F109" s="28"/>
      <c r="G109" s="28"/>
      <c r="H109" s="28"/>
      <c r="I109" s="28"/>
      <c r="J109" s="28"/>
      <c r="K109" s="28"/>
      <c r="L109" s="25">
        <v>3</v>
      </c>
      <c r="M109" s="28"/>
      <c r="N109" s="28"/>
      <c r="O109" s="28"/>
      <c r="P109" s="25">
        <v>1</v>
      </c>
      <c r="Q109" s="28"/>
      <c r="R109" s="28"/>
      <c r="S109" s="28"/>
      <c r="T109" s="25">
        <v>3</v>
      </c>
      <c r="U109" s="28"/>
      <c r="V109" s="28"/>
      <c r="W109" s="28"/>
      <c r="X109" s="28"/>
      <c r="Y109" s="28"/>
      <c r="Z109" s="28"/>
      <c r="AA109" s="25">
        <v>4</v>
      </c>
      <c r="AB109" s="28"/>
      <c r="AC109" s="28"/>
      <c r="AD109" s="28"/>
      <c r="AE109" s="28"/>
      <c r="AF109" s="25">
        <v>3</v>
      </c>
      <c r="AG109" s="28"/>
      <c r="AH109" s="28"/>
      <c r="AI109" s="28"/>
      <c r="AJ109" s="25">
        <v>1</v>
      </c>
      <c r="AK109" s="28"/>
      <c r="AL109" s="28"/>
      <c r="AM109" s="28"/>
      <c r="AN109" s="28"/>
      <c r="AO109" s="28"/>
      <c r="AP109" s="28"/>
      <c r="AQ109" t="s" s="27">
        <v>302</v>
      </c>
      <c r="AR109" s="28"/>
      <c r="AS109" s="28"/>
      <c r="AT109" s="25">
        <v>3</v>
      </c>
      <c r="AU109" s="28"/>
      <c r="AV109" s="28"/>
      <c r="AW109" s="28"/>
      <c r="AX109" s="28"/>
      <c r="AY109" s="28"/>
      <c r="AZ109" s="28"/>
      <c r="BA109" s="28"/>
      <c r="BB109" s="25">
        <v>3</v>
      </c>
      <c r="BC109" s="28"/>
      <c r="BD109" s="28"/>
      <c r="BE109" s="28"/>
    </row>
    <row r="110" ht="13.55" customHeight="1">
      <c r="A110" s="25">
        <v>6599967480</v>
      </c>
      <c r="B110" s="25">
        <v>167721399</v>
      </c>
      <c r="C110" s="26">
        <v>43091.8540162037</v>
      </c>
      <c r="D110" s="26">
        <v>43091.859664351847</v>
      </c>
      <c r="E110" t="s" s="27">
        <v>303</v>
      </c>
      <c r="F110" s="28"/>
      <c r="G110" s="28"/>
      <c r="H110" s="28"/>
      <c r="I110" s="28"/>
      <c r="J110" s="28"/>
      <c r="K110" s="28"/>
      <c r="L110" s="25">
        <v>3</v>
      </c>
      <c r="M110" s="28"/>
      <c r="N110" s="28"/>
      <c r="O110" s="28"/>
      <c r="P110" s="25">
        <v>1</v>
      </c>
      <c r="Q110" s="28"/>
      <c r="R110" s="28"/>
      <c r="S110" s="28"/>
      <c r="T110" s="25">
        <v>3</v>
      </c>
      <c r="U110" s="28"/>
      <c r="V110" s="28"/>
      <c r="W110" s="28"/>
      <c r="X110" s="28"/>
      <c r="Y110" s="25">
        <v>2</v>
      </c>
      <c r="Z110" s="28"/>
      <c r="AA110" s="28"/>
      <c r="AB110" s="28"/>
      <c r="AC110" s="28"/>
      <c r="AD110" s="28"/>
      <c r="AE110" s="25">
        <v>2</v>
      </c>
      <c r="AF110" s="28"/>
      <c r="AG110" s="28"/>
      <c r="AH110" s="28"/>
      <c r="AI110" s="28"/>
      <c r="AJ110" s="25">
        <v>1</v>
      </c>
      <c r="AK110" s="25">
        <v>2</v>
      </c>
      <c r="AL110" s="28"/>
      <c r="AM110" s="28"/>
      <c r="AN110" s="28"/>
      <c r="AO110" s="28"/>
      <c r="AP110" s="28"/>
      <c r="AQ110" t="s" s="27">
        <v>304</v>
      </c>
      <c r="AR110" s="28"/>
      <c r="AS110" s="28"/>
      <c r="AT110" s="28"/>
      <c r="AU110" s="28"/>
      <c r="AV110" s="28"/>
      <c r="AW110" s="28"/>
      <c r="AX110" s="28"/>
      <c r="AY110" s="25">
        <v>8</v>
      </c>
      <c r="AZ110" s="28"/>
      <c r="BA110" s="28"/>
      <c r="BB110" s="25">
        <v>3</v>
      </c>
      <c r="BC110" s="28"/>
      <c r="BD110" s="28"/>
      <c r="BE110" s="28"/>
    </row>
    <row r="111" ht="13.55" customHeight="1">
      <c r="A111" s="25">
        <v>6599967134</v>
      </c>
      <c r="B111" s="25">
        <v>167721399</v>
      </c>
      <c r="C111" s="26">
        <v>43091.858275462961</v>
      </c>
      <c r="D111" s="26">
        <v>43091.859201388892</v>
      </c>
      <c r="E111" t="s" s="27">
        <v>305</v>
      </c>
      <c r="F111" s="28"/>
      <c r="G111" s="28"/>
      <c r="H111" s="28"/>
      <c r="I111" s="28"/>
      <c r="J111" s="28"/>
      <c r="K111" s="25">
        <v>2</v>
      </c>
      <c r="L111" s="28"/>
      <c r="M111" s="28"/>
      <c r="N111" s="28"/>
      <c r="O111" s="28"/>
      <c r="P111" s="25">
        <v>1</v>
      </c>
      <c r="Q111" s="28"/>
      <c r="R111" s="25">
        <v>1</v>
      </c>
      <c r="S111" s="28"/>
      <c r="T111" s="28"/>
      <c r="U111" s="28"/>
      <c r="V111" s="28"/>
      <c r="W111" s="28"/>
      <c r="X111" s="28"/>
      <c r="Y111" s="28"/>
      <c r="Z111" s="25">
        <v>3</v>
      </c>
      <c r="AA111" s="28"/>
      <c r="AB111" s="28"/>
      <c r="AC111" s="28"/>
      <c r="AD111" s="28"/>
      <c r="AE111" s="25">
        <v>2</v>
      </c>
      <c r="AF111" s="28"/>
      <c r="AG111" s="28"/>
      <c r="AH111" s="28"/>
      <c r="AI111" s="28"/>
      <c r="AJ111" s="25">
        <v>1</v>
      </c>
      <c r="AK111" s="28"/>
      <c r="AL111" s="28"/>
      <c r="AM111" s="28"/>
      <c r="AN111" s="28"/>
      <c r="AO111" s="28"/>
      <c r="AP111" s="28"/>
      <c r="AQ111" t="s" s="27">
        <v>306</v>
      </c>
      <c r="AR111" s="28"/>
      <c r="AS111" s="28"/>
      <c r="AT111" s="25">
        <v>3</v>
      </c>
      <c r="AU111" s="28"/>
      <c r="AV111" s="28"/>
      <c r="AW111" s="28"/>
      <c r="AX111" s="28"/>
      <c r="AY111" s="28"/>
      <c r="AZ111" s="28"/>
      <c r="BA111" s="28"/>
      <c r="BB111" s="28"/>
      <c r="BC111" s="25">
        <v>4</v>
      </c>
      <c r="BD111" s="28"/>
      <c r="BE111" s="28"/>
    </row>
    <row r="112" ht="13.55" customHeight="1">
      <c r="A112" s="25">
        <v>6599960026</v>
      </c>
      <c r="B112" s="25">
        <v>167721399</v>
      </c>
      <c r="C112" s="26">
        <v>43091.848263888889</v>
      </c>
      <c r="D112" s="26">
        <v>43091.849629629629</v>
      </c>
      <c r="E112" t="s" s="27">
        <v>307</v>
      </c>
      <c r="F112" s="28"/>
      <c r="G112" s="28"/>
      <c r="H112" s="28"/>
      <c r="I112" s="28"/>
      <c r="J112" s="28"/>
      <c r="K112" s="28"/>
      <c r="L112" s="25">
        <v>3</v>
      </c>
      <c r="M112" s="28"/>
      <c r="N112" s="28"/>
      <c r="O112" s="28"/>
      <c r="P112" s="28"/>
      <c r="Q112" s="25">
        <v>2</v>
      </c>
      <c r="R112" s="25">
        <v>1</v>
      </c>
      <c r="S112" s="28"/>
      <c r="T112" s="28"/>
      <c r="U112" s="28"/>
      <c r="V112" s="28"/>
      <c r="W112" s="28"/>
      <c r="X112" s="25">
        <v>1</v>
      </c>
      <c r="Y112" s="28"/>
      <c r="Z112" s="28"/>
      <c r="AA112" s="28"/>
      <c r="AB112" s="28"/>
      <c r="AC112" s="28"/>
      <c r="AD112" s="25">
        <v>1</v>
      </c>
      <c r="AE112" s="28"/>
      <c r="AF112" s="28"/>
      <c r="AG112" s="28"/>
      <c r="AH112" s="28"/>
      <c r="AI112" s="28"/>
      <c r="AJ112" s="28"/>
      <c r="AK112" s="28"/>
      <c r="AL112" s="28"/>
      <c r="AM112" s="28"/>
      <c r="AN112" s="28"/>
      <c r="AO112" s="25">
        <v>6</v>
      </c>
      <c r="AP112" s="28"/>
      <c r="AQ112" t="s" s="27">
        <v>308</v>
      </c>
      <c r="AR112" s="28"/>
      <c r="AS112" s="28"/>
      <c r="AT112" s="28"/>
      <c r="AU112" s="28"/>
      <c r="AV112" s="28"/>
      <c r="AW112" s="28"/>
      <c r="AX112" s="28"/>
      <c r="AY112" s="25">
        <v>8</v>
      </c>
      <c r="AZ112" s="28"/>
      <c r="BA112" s="28"/>
      <c r="BB112" s="28"/>
      <c r="BC112" s="25">
        <v>4</v>
      </c>
      <c r="BD112" s="28"/>
      <c r="BE112" t="s" s="27">
        <v>309</v>
      </c>
    </row>
    <row r="113" ht="13.55" customHeight="1">
      <c r="A113" s="25">
        <v>6599956728</v>
      </c>
      <c r="B113" s="25">
        <v>167721399</v>
      </c>
      <c r="C113" s="26">
        <v>43091.840763888889</v>
      </c>
      <c r="D113" s="26">
        <v>43091.845462962963</v>
      </c>
      <c r="E113" t="s" s="27">
        <v>310</v>
      </c>
      <c r="F113" s="28"/>
      <c r="G113" s="28"/>
      <c r="H113" s="28"/>
      <c r="I113" s="28"/>
      <c r="J113" s="28"/>
      <c r="K113" s="25">
        <v>2</v>
      </c>
      <c r="L113" s="28"/>
      <c r="M113" s="28"/>
      <c r="N113" s="28"/>
      <c r="O113" s="28"/>
      <c r="P113" s="25">
        <v>1</v>
      </c>
      <c r="Q113" s="28"/>
      <c r="R113" s="28"/>
      <c r="S113" s="25">
        <v>2</v>
      </c>
      <c r="T113" s="28"/>
      <c r="U113" s="28"/>
      <c r="V113" s="28"/>
      <c r="W113" s="28"/>
      <c r="X113" s="28"/>
      <c r="Y113" s="28"/>
      <c r="Z113" s="25">
        <v>3</v>
      </c>
      <c r="AA113" s="28"/>
      <c r="AB113" s="28"/>
      <c r="AC113" s="28"/>
      <c r="AD113" s="28"/>
      <c r="AE113" s="25">
        <v>2</v>
      </c>
      <c r="AF113" s="28"/>
      <c r="AG113" s="28"/>
      <c r="AH113" s="28"/>
      <c r="AI113" s="28"/>
      <c r="AJ113" s="25">
        <v>1</v>
      </c>
      <c r="AK113" s="28"/>
      <c r="AL113" s="28"/>
      <c r="AM113" s="28"/>
      <c r="AN113" s="28"/>
      <c r="AO113" s="25">
        <v>6</v>
      </c>
      <c r="AP113" s="28"/>
      <c r="AQ113" t="s" s="27">
        <v>311</v>
      </c>
      <c r="AR113" s="28"/>
      <c r="AS113" s="28"/>
      <c r="AT113" s="28"/>
      <c r="AU113" s="25">
        <v>4</v>
      </c>
      <c r="AV113" s="28"/>
      <c r="AW113" s="28"/>
      <c r="AX113" s="28"/>
      <c r="AY113" s="28"/>
      <c r="AZ113" s="28"/>
      <c r="BA113" s="28"/>
      <c r="BB113" s="25">
        <v>3</v>
      </c>
      <c r="BC113" s="28"/>
      <c r="BD113" s="28"/>
      <c r="BE113" s="28"/>
    </row>
    <row r="114" ht="13.55" customHeight="1">
      <c r="A114" s="25">
        <v>6599954235</v>
      </c>
      <c r="B114" s="25">
        <v>167721399</v>
      </c>
      <c r="C114" s="26">
        <v>43091.841134259259</v>
      </c>
      <c r="D114" s="26">
        <v>43091.842210648138</v>
      </c>
      <c r="E114" t="s" s="27">
        <v>312</v>
      </c>
      <c r="F114" s="28"/>
      <c r="G114" s="28"/>
      <c r="H114" s="28"/>
      <c r="I114" s="28"/>
      <c r="J114" s="28"/>
      <c r="K114" s="25">
        <v>2</v>
      </c>
      <c r="L114" s="28"/>
      <c r="M114" s="28"/>
      <c r="N114" s="28"/>
      <c r="O114" s="28"/>
      <c r="P114" s="28"/>
      <c r="Q114" s="25">
        <v>2</v>
      </c>
      <c r="R114" s="28"/>
      <c r="S114" s="25">
        <v>2</v>
      </c>
      <c r="T114" s="28"/>
      <c r="U114" s="28"/>
      <c r="V114" s="28"/>
      <c r="W114" s="28"/>
      <c r="X114" s="28"/>
      <c r="Y114" s="25">
        <v>2</v>
      </c>
      <c r="Z114" s="28"/>
      <c r="AA114" s="28"/>
      <c r="AB114" s="28"/>
      <c r="AC114" s="28"/>
      <c r="AD114" s="25">
        <v>1</v>
      </c>
      <c r="AE114" s="28"/>
      <c r="AF114" s="28"/>
      <c r="AG114" s="28"/>
      <c r="AH114" s="28"/>
      <c r="AI114" s="28"/>
      <c r="AJ114" s="25">
        <v>1</v>
      </c>
      <c r="AK114" s="25">
        <v>2</v>
      </c>
      <c r="AL114" s="28"/>
      <c r="AM114" s="28"/>
      <c r="AN114" s="28"/>
      <c r="AO114" s="28"/>
      <c r="AP114" s="28"/>
      <c r="AQ114" t="s" s="27">
        <v>313</v>
      </c>
      <c r="AR114" s="25">
        <v>1</v>
      </c>
      <c r="AS114" s="28"/>
      <c r="AT114" s="28"/>
      <c r="AU114" s="28"/>
      <c r="AV114" s="28"/>
      <c r="AW114" s="28"/>
      <c r="AX114" s="28"/>
      <c r="AY114" s="28"/>
      <c r="AZ114" s="28"/>
      <c r="BA114" s="28"/>
      <c r="BB114" s="28"/>
      <c r="BC114" s="25">
        <v>4</v>
      </c>
      <c r="BD114" s="28"/>
      <c r="BE114" s="28"/>
    </row>
    <row r="115" ht="13.55" customHeight="1">
      <c r="A115" s="25">
        <v>6599946653</v>
      </c>
      <c r="B115" s="25">
        <v>167721399</v>
      </c>
      <c r="C115" s="26">
        <v>43091.831122685187</v>
      </c>
      <c r="D115" s="26">
        <v>43091.8325462963</v>
      </c>
      <c r="E115" t="s" s="27">
        <v>314</v>
      </c>
      <c r="F115" s="28"/>
      <c r="G115" s="28"/>
      <c r="H115" s="28"/>
      <c r="I115" s="28"/>
      <c r="J115" s="28"/>
      <c r="K115" s="28"/>
      <c r="L115" s="25">
        <v>3</v>
      </c>
      <c r="M115" s="28"/>
      <c r="N115" s="28"/>
      <c r="O115" s="28"/>
      <c r="P115" s="25">
        <v>1</v>
      </c>
      <c r="Q115" s="28"/>
      <c r="R115" s="28"/>
      <c r="S115" s="28"/>
      <c r="T115" s="28"/>
      <c r="U115" s="28"/>
      <c r="V115" s="25">
        <v>5</v>
      </c>
      <c r="W115" s="28"/>
      <c r="X115" s="28"/>
      <c r="Y115" s="28"/>
      <c r="Z115" s="25">
        <v>3</v>
      </c>
      <c r="AA115" s="28"/>
      <c r="AB115" s="28"/>
      <c r="AC115" s="28"/>
      <c r="AD115" s="28"/>
      <c r="AE115" s="25">
        <v>2</v>
      </c>
      <c r="AF115" s="28"/>
      <c r="AG115" s="28"/>
      <c r="AH115" s="28"/>
      <c r="AI115" s="28"/>
      <c r="AJ115" s="25">
        <v>1</v>
      </c>
      <c r="AK115" s="28"/>
      <c r="AL115" s="28"/>
      <c r="AM115" s="28"/>
      <c r="AN115" s="28"/>
      <c r="AO115" s="28"/>
      <c r="AP115" s="28"/>
      <c r="AQ115" t="s" s="27">
        <v>315</v>
      </c>
      <c r="AR115" s="28"/>
      <c r="AS115" s="28"/>
      <c r="AT115" s="28"/>
      <c r="AU115" s="25">
        <v>4</v>
      </c>
      <c r="AV115" s="28"/>
      <c r="AW115" s="28"/>
      <c r="AX115" s="28"/>
      <c r="AY115" s="28"/>
      <c r="AZ115" s="28"/>
      <c r="BA115" s="28"/>
      <c r="BB115" s="25">
        <v>3</v>
      </c>
      <c r="BC115" s="28"/>
      <c r="BD115" s="28"/>
      <c r="BE115" s="28"/>
    </row>
    <row r="116" ht="13.55" customHeight="1">
      <c r="A116" s="25">
        <v>6599944564</v>
      </c>
      <c r="B116" s="25">
        <v>167721399</v>
      </c>
      <c r="C116" s="26">
        <v>43091.829050925917</v>
      </c>
      <c r="D116" s="26">
        <v>43091.829849537040</v>
      </c>
      <c r="E116" t="s" s="27">
        <v>316</v>
      </c>
      <c r="F116" s="28"/>
      <c r="G116" s="28"/>
      <c r="H116" s="28"/>
      <c r="I116" s="28"/>
      <c r="J116" s="28"/>
      <c r="K116" s="28"/>
      <c r="L116" s="25">
        <v>3</v>
      </c>
      <c r="M116" s="28"/>
      <c r="N116" s="28"/>
      <c r="O116" s="28"/>
      <c r="P116" s="25">
        <v>1</v>
      </c>
      <c r="Q116" s="28"/>
      <c r="R116" s="28"/>
      <c r="S116" s="25">
        <v>2</v>
      </c>
      <c r="T116" s="28"/>
      <c r="U116" s="28"/>
      <c r="V116" s="28"/>
      <c r="W116" s="28"/>
      <c r="X116" s="28"/>
      <c r="Y116" s="28"/>
      <c r="Z116" s="28"/>
      <c r="AA116" s="25">
        <v>4</v>
      </c>
      <c r="AB116" s="28"/>
      <c r="AC116" s="28"/>
      <c r="AD116" s="28"/>
      <c r="AE116" s="28"/>
      <c r="AF116" s="25">
        <v>3</v>
      </c>
      <c r="AG116" s="28"/>
      <c r="AH116" s="28"/>
      <c r="AI116" s="28"/>
      <c r="AJ116" s="25">
        <v>1</v>
      </c>
      <c r="AK116" s="25">
        <v>2</v>
      </c>
      <c r="AL116" s="25">
        <v>3</v>
      </c>
      <c r="AM116" s="28"/>
      <c r="AN116" s="28"/>
      <c r="AO116" s="25">
        <v>6</v>
      </c>
      <c r="AP116" s="25">
        <v>7</v>
      </c>
      <c r="AQ116" t="s" s="27">
        <v>317</v>
      </c>
      <c r="AR116" s="28"/>
      <c r="AS116" s="28"/>
      <c r="AT116" s="28"/>
      <c r="AU116" s="28"/>
      <c r="AV116" s="28"/>
      <c r="AW116" s="28"/>
      <c r="AX116" s="25">
        <v>7</v>
      </c>
      <c r="AY116" s="28"/>
      <c r="AZ116" s="28"/>
      <c r="BA116" s="28"/>
      <c r="BB116" s="25">
        <v>3</v>
      </c>
      <c r="BC116" s="28"/>
      <c r="BD116" s="28"/>
      <c r="BE116" s="28"/>
    </row>
    <row r="117" ht="13.55" customHeight="1">
      <c r="A117" s="25">
        <v>6599935434</v>
      </c>
      <c r="B117" s="25">
        <v>167721399</v>
      </c>
      <c r="C117" s="26">
        <v>43091.818020833343</v>
      </c>
      <c r="D117" s="26">
        <v>43091.818784722222</v>
      </c>
      <c r="E117" t="s" s="27">
        <v>318</v>
      </c>
      <c r="F117" s="28"/>
      <c r="G117" s="28"/>
      <c r="H117" s="28"/>
      <c r="I117" s="28"/>
      <c r="J117" s="28"/>
      <c r="K117" s="25">
        <v>2</v>
      </c>
      <c r="L117" s="28"/>
      <c r="M117" s="28"/>
      <c r="N117" s="28"/>
      <c r="O117" s="28"/>
      <c r="P117" s="25">
        <v>1</v>
      </c>
      <c r="Q117" s="28"/>
      <c r="R117" s="28"/>
      <c r="S117" s="28"/>
      <c r="T117" s="28"/>
      <c r="U117" s="25">
        <v>4</v>
      </c>
      <c r="V117" s="28"/>
      <c r="W117" s="28"/>
      <c r="X117" s="28"/>
      <c r="Y117" s="28"/>
      <c r="Z117" s="25">
        <v>3</v>
      </c>
      <c r="AA117" s="28"/>
      <c r="AB117" s="28"/>
      <c r="AC117" s="28"/>
      <c r="AD117" s="28"/>
      <c r="AE117" s="25">
        <v>2</v>
      </c>
      <c r="AF117" s="28"/>
      <c r="AG117" s="28"/>
      <c r="AH117" s="28"/>
      <c r="AI117" s="28"/>
      <c r="AJ117" s="28"/>
      <c r="AK117" s="28"/>
      <c r="AL117" s="28"/>
      <c r="AM117" s="28"/>
      <c r="AN117" s="28"/>
      <c r="AO117" s="25">
        <v>6</v>
      </c>
      <c r="AP117" s="28"/>
      <c r="AQ117" t="s" s="27">
        <v>195</v>
      </c>
      <c r="AR117" s="28"/>
      <c r="AS117" s="25">
        <v>2</v>
      </c>
      <c r="AT117" s="28"/>
      <c r="AU117" s="28"/>
      <c r="AV117" s="28"/>
      <c r="AW117" s="28"/>
      <c r="AX117" s="28"/>
      <c r="AY117" s="28"/>
      <c r="AZ117" s="28"/>
      <c r="BA117" s="28"/>
      <c r="BB117" s="25">
        <v>3</v>
      </c>
      <c r="BC117" s="28"/>
      <c r="BD117" s="28"/>
      <c r="BE117" s="28"/>
    </row>
    <row r="118" ht="13.55" customHeight="1">
      <c r="A118" s="25">
        <v>6599935324</v>
      </c>
      <c r="B118" s="25">
        <v>167721399</v>
      </c>
      <c r="C118" s="26">
        <v>43091.817488425928</v>
      </c>
      <c r="D118" s="26">
        <v>43091.818657407413</v>
      </c>
      <c r="E118" t="s" s="27">
        <v>319</v>
      </c>
      <c r="F118" s="28"/>
      <c r="G118" s="28"/>
      <c r="H118" s="28"/>
      <c r="I118" s="28"/>
      <c r="J118" s="28"/>
      <c r="K118" s="25">
        <v>2</v>
      </c>
      <c r="L118" s="28"/>
      <c r="M118" s="28"/>
      <c r="N118" s="28"/>
      <c r="O118" s="28"/>
      <c r="P118" s="25">
        <v>1</v>
      </c>
      <c r="Q118" s="28"/>
      <c r="R118" s="28"/>
      <c r="S118" s="25">
        <v>2</v>
      </c>
      <c r="T118" s="28"/>
      <c r="U118" s="28"/>
      <c r="V118" s="28"/>
      <c r="W118" s="28"/>
      <c r="X118" s="28"/>
      <c r="Y118" s="28"/>
      <c r="Z118" s="25">
        <v>3</v>
      </c>
      <c r="AA118" s="28"/>
      <c r="AB118" s="28"/>
      <c r="AC118" s="28"/>
      <c r="AD118" s="25">
        <v>1</v>
      </c>
      <c r="AE118" s="28"/>
      <c r="AF118" s="28"/>
      <c r="AG118" s="28"/>
      <c r="AH118" s="28"/>
      <c r="AI118" s="28"/>
      <c r="AJ118" s="25">
        <v>1</v>
      </c>
      <c r="AK118" s="28"/>
      <c r="AL118" s="28"/>
      <c r="AM118" s="25">
        <v>4</v>
      </c>
      <c r="AN118" s="28"/>
      <c r="AO118" s="28"/>
      <c r="AP118" s="28"/>
      <c r="AQ118" t="s" s="27">
        <v>320</v>
      </c>
      <c r="AR118" s="28"/>
      <c r="AS118" s="28"/>
      <c r="AT118" s="28"/>
      <c r="AU118" s="25">
        <v>4</v>
      </c>
      <c r="AV118" s="28"/>
      <c r="AW118" s="28"/>
      <c r="AX118" s="28"/>
      <c r="AY118" s="28"/>
      <c r="AZ118" s="28"/>
      <c r="BA118" s="28"/>
      <c r="BB118" s="25">
        <v>3</v>
      </c>
      <c r="BC118" s="28"/>
      <c r="BD118" s="28"/>
      <c r="BE118" t="s" s="27">
        <v>321</v>
      </c>
    </row>
    <row r="119" ht="13.55" customHeight="1">
      <c r="A119" s="25">
        <v>6599926341</v>
      </c>
      <c r="B119" s="25">
        <v>167721399</v>
      </c>
      <c r="C119" s="26">
        <v>43091.806122685193</v>
      </c>
      <c r="D119" s="26">
        <v>43091.8075925926</v>
      </c>
      <c r="E119" t="s" s="27">
        <v>322</v>
      </c>
      <c r="F119" s="28"/>
      <c r="G119" s="28"/>
      <c r="H119" s="28"/>
      <c r="I119" s="28"/>
      <c r="J119" s="28"/>
      <c r="K119" s="25">
        <v>2</v>
      </c>
      <c r="L119" s="28"/>
      <c r="M119" s="28"/>
      <c r="N119" s="28"/>
      <c r="O119" s="28"/>
      <c r="P119" s="25">
        <v>1</v>
      </c>
      <c r="Q119" s="28"/>
      <c r="R119" s="25">
        <v>1</v>
      </c>
      <c r="S119" s="28"/>
      <c r="T119" s="28"/>
      <c r="U119" s="28"/>
      <c r="V119" s="28"/>
      <c r="W119" s="28"/>
      <c r="X119" s="28"/>
      <c r="Y119" s="25">
        <v>2</v>
      </c>
      <c r="Z119" s="28"/>
      <c r="AA119" s="28"/>
      <c r="AB119" s="28"/>
      <c r="AC119" s="28"/>
      <c r="AD119" s="25">
        <v>1</v>
      </c>
      <c r="AE119" s="28"/>
      <c r="AF119" s="28"/>
      <c r="AG119" s="28"/>
      <c r="AH119" s="28"/>
      <c r="AI119" s="28"/>
      <c r="AJ119" s="25">
        <v>1</v>
      </c>
      <c r="AK119" s="25">
        <v>2</v>
      </c>
      <c r="AL119" s="28"/>
      <c r="AM119" s="28"/>
      <c r="AN119" s="28"/>
      <c r="AO119" s="28"/>
      <c r="AP119" s="28"/>
      <c r="AQ119" t="s" s="27">
        <v>323</v>
      </c>
      <c r="AR119" s="25">
        <v>1</v>
      </c>
      <c r="AS119" s="28"/>
      <c r="AT119" s="28"/>
      <c r="AU119" s="28"/>
      <c r="AV119" s="28"/>
      <c r="AW119" s="28"/>
      <c r="AX119" s="28"/>
      <c r="AY119" s="28"/>
      <c r="AZ119" s="28"/>
      <c r="BA119" s="28"/>
      <c r="BB119" s="25">
        <v>3</v>
      </c>
      <c r="BC119" s="28"/>
      <c r="BD119" s="28"/>
      <c r="BE119" s="28"/>
    </row>
    <row r="120" ht="13.55" customHeight="1">
      <c r="A120" s="25">
        <v>6599923844</v>
      </c>
      <c r="B120" s="25">
        <v>167721399</v>
      </c>
      <c r="C120" s="26">
        <v>43091.803923611107</v>
      </c>
      <c r="D120" s="26">
        <v>43091.804652777777</v>
      </c>
      <c r="E120" t="s" s="27">
        <v>324</v>
      </c>
      <c r="F120" s="28"/>
      <c r="G120" s="28"/>
      <c r="H120" s="28"/>
      <c r="I120" s="28"/>
      <c r="J120" s="25">
        <v>1</v>
      </c>
      <c r="K120" s="28"/>
      <c r="L120" s="28"/>
      <c r="M120" s="28"/>
      <c r="N120" s="28"/>
      <c r="O120" s="28"/>
      <c r="P120" s="25">
        <v>1</v>
      </c>
      <c r="Q120" s="28"/>
      <c r="R120" s="25">
        <v>1</v>
      </c>
      <c r="S120" s="28"/>
      <c r="T120" s="28"/>
      <c r="U120" s="28"/>
      <c r="V120" s="28"/>
      <c r="W120" s="28"/>
      <c r="X120" s="28"/>
      <c r="Y120" s="28"/>
      <c r="Z120" s="25">
        <v>3</v>
      </c>
      <c r="AA120" s="28"/>
      <c r="AB120" s="28"/>
      <c r="AC120" s="28"/>
      <c r="AD120" s="28"/>
      <c r="AE120" s="28"/>
      <c r="AF120" s="25">
        <v>3</v>
      </c>
      <c r="AG120" s="28"/>
      <c r="AH120" s="28"/>
      <c r="AI120" s="28"/>
      <c r="AJ120" s="28"/>
      <c r="AK120" s="25">
        <v>2</v>
      </c>
      <c r="AL120" s="28"/>
      <c r="AM120" s="28"/>
      <c r="AN120" s="28"/>
      <c r="AO120" s="28"/>
      <c r="AP120" s="28"/>
      <c r="AQ120" s="28"/>
      <c r="AR120" s="25">
        <v>1</v>
      </c>
      <c r="AS120" s="28"/>
      <c r="AT120" s="28"/>
      <c r="AU120" s="28"/>
      <c r="AV120" s="28"/>
      <c r="AW120" s="28"/>
      <c r="AX120" s="28"/>
      <c r="AY120" s="28"/>
      <c r="AZ120" s="28"/>
      <c r="BA120" s="28"/>
      <c r="BB120" s="28"/>
      <c r="BC120" s="25">
        <v>4</v>
      </c>
      <c r="BD120" s="28"/>
      <c r="BE120" s="28"/>
    </row>
    <row r="121" ht="13.55" customHeight="1">
      <c r="A121" s="25">
        <v>6599921728</v>
      </c>
      <c r="B121" s="25">
        <v>167721399</v>
      </c>
      <c r="C121" s="26">
        <v>43091.800752314812</v>
      </c>
      <c r="D121" s="26">
        <v>43091.802118055559</v>
      </c>
      <c r="E121" t="s" s="27">
        <v>325</v>
      </c>
      <c r="F121" s="28"/>
      <c r="G121" s="28"/>
      <c r="H121" s="28"/>
      <c r="I121" s="28"/>
      <c r="J121" s="28"/>
      <c r="K121" s="25">
        <v>2</v>
      </c>
      <c r="L121" s="28"/>
      <c r="M121" s="28"/>
      <c r="N121" s="28"/>
      <c r="O121" s="28"/>
      <c r="P121" s="25">
        <v>1</v>
      </c>
      <c r="Q121" s="28"/>
      <c r="R121" s="28"/>
      <c r="S121" s="28"/>
      <c r="T121" s="28"/>
      <c r="U121" s="28"/>
      <c r="V121" s="28"/>
      <c r="W121" s="25">
        <v>6</v>
      </c>
      <c r="X121" s="28"/>
      <c r="Y121" s="28"/>
      <c r="Z121" s="28"/>
      <c r="AA121" s="28"/>
      <c r="AB121" s="25">
        <v>5</v>
      </c>
      <c r="AC121" s="28"/>
      <c r="AD121" s="28"/>
      <c r="AE121" s="28"/>
      <c r="AF121" s="28"/>
      <c r="AG121" s="25">
        <v>4</v>
      </c>
      <c r="AH121" s="28"/>
      <c r="AI121" s="28"/>
      <c r="AJ121" s="25">
        <v>1</v>
      </c>
      <c r="AK121" s="25">
        <v>2</v>
      </c>
      <c r="AL121" s="28"/>
      <c r="AM121" s="28"/>
      <c r="AN121" s="25">
        <v>5</v>
      </c>
      <c r="AO121" s="25">
        <v>6</v>
      </c>
      <c r="AP121" s="28"/>
      <c r="AQ121" t="s" s="27">
        <v>326</v>
      </c>
      <c r="AR121" s="28"/>
      <c r="AS121" s="28"/>
      <c r="AT121" s="28"/>
      <c r="AU121" s="25">
        <v>4</v>
      </c>
      <c r="AV121" s="28"/>
      <c r="AW121" s="28"/>
      <c r="AX121" s="28"/>
      <c r="AY121" s="28"/>
      <c r="AZ121" s="28"/>
      <c r="BA121" s="28"/>
      <c r="BB121" s="25">
        <v>3</v>
      </c>
      <c r="BC121" s="28"/>
      <c r="BD121" s="28"/>
      <c r="BE121" s="28"/>
    </row>
    <row r="122" ht="13.55" customHeight="1">
      <c r="A122" s="25">
        <v>6599921272</v>
      </c>
      <c r="B122" s="25">
        <v>167721399</v>
      </c>
      <c r="C122" s="26">
        <v>43091.8010300926</v>
      </c>
      <c r="D122" s="26">
        <v>43091.801597222220</v>
      </c>
      <c r="E122" t="s" s="27">
        <v>327</v>
      </c>
      <c r="F122" s="28"/>
      <c r="G122" s="28"/>
      <c r="H122" s="28"/>
      <c r="I122" s="28"/>
      <c r="J122" s="25">
        <v>1</v>
      </c>
      <c r="K122" s="28"/>
      <c r="L122" s="28"/>
      <c r="M122" s="28"/>
      <c r="N122" s="28"/>
      <c r="O122" s="28"/>
      <c r="P122" s="25">
        <v>1</v>
      </c>
      <c r="Q122" s="28"/>
      <c r="R122" s="28"/>
      <c r="S122" s="25">
        <v>2</v>
      </c>
      <c r="T122" s="28"/>
      <c r="U122" s="28"/>
      <c r="V122" s="28"/>
      <c r="W122" s="28"/>
      <c r="X122" s="28"/>
      <c r="Y122" s="28"/>
      <c r="Z122" s="25">
        <v>3</v>
      </c>
      <c r="AA122" s="28"/>
      <c r="AB122" s="28"/>
      <c r="AC122" s="28"/>
      <c r="AD122" s="28"/>
      <c r="AE122" s="28"/>
      <c r="AF122" s="25">
        <v>3</v>
      </c>
      <c r="AG122" s="28"/>
      <c r="AH122" s="28"/>
      <c r="AI122" s="28"/>
      <c r="AJ122" s="28"/>
      <c r="AK122" s="28"/>
      <c r="AL122" s="28"/>
      <c r="AM122" s="28"/>
      <c r="AN122" s="28"/>
      <c r="AO122" s="25">
        <v>6</v>
      </c>
      <c r="AP122" s="28"/>
      <c r="AQ122" t="s" s="27">
        <v>328</v>
      </c>
      <c r="AR122" s="25">
        <v>1</v>
      </c>
      <c r="AS122" s="28"/>
      <c r="AT122" s="28"/>
      <c r="AU122" s="28"/>
      <c r="AV122" s="28"/>
      <c r="AW122" s="28"/>
      <c r="AX122" s="28"/>
      <c r="AY122" s="28"/>
      <c r="AZ122" s="28"/>
      <c r="BA122" s="28"/>
      <c r="BB122" s="25">
        <v>3</v>
      </c>
      <c r="BC122" s="28"/>
      <c r="BD122" s="28"/>
      <c r="BE122" s="28"/>
    </row>
    <row r="123" ht="13.55" customHeight="1">
      <c r="A123" s="25">
        <v>6599918095</v>
      </c>
      <c r="B123" s="25">
        <v>167721399</v>
      </c>
      <c r="C123" s="26">
        <v>43091.794872685183</v>
      </c>
      <c r="D123" s="26">
        <v>43091.797824074078</v>
      </c>
      <c r="E123" t="s" s="27">
        <v>329</v>
      </c>
      <c r="F123" s="28"/>
      <c r="G123" s="28"/>
      <c r="H123" s="28"/>
      <c r="I123" s="28"/>
      <c r="J123" s="28"/>
      <c r="K123" s="25">
        <v>2</v>
      </c>
      <c r="L123" s="28"/>
      <c r="M123" s="28"/>
      <c r="N123" s="28"/>
      <c r="O123" s="28"/>
      <c r="P123" s="25">
        <v>1</v>
      </c>
      <c r="Q123" s="28"/>
      <c r="R123" s="25">
        <v>1</v>
      </c>
      <c r="S123" s="28"/>
      <c r="T123" s="28"/>
      <c r="U123" s="28"/>
      <c r="V123" s="28"/>
      <c r="W123" s="28"/>
      <c r="X123" s="28"/>
      <c r="Y123" s="25">
        <v>2</v>
      </c>
      <c r="Z123" s="28"/>
      <c r="AA123" s="28"/>
      <c r="AB123" s="28"/>
      <c r="AC123" s="28"/>
      <c r="AD123" s="28"/>
      <c r="AE123" s="25">
        <v>2</v>
      </c>
      <c r="AF123" s="28"/>
      <c r="AG123" s="28"/>
      <c r="AH123" s="28"/>
      <c r="AI123" s="28"/>
      <c r="AJ123" s="25">
        <v>1</v>
      </c>
      <c r="AK123" s="28"/>
      <c r="AL123" s="28"/>
      <c r="AM123" s="25">
        <v>4</v>
      </c>
      <c r="AN123" s="28"/>
      <c r="AO123" s="28"/>
      <c r="AP123" s="28"/>
      <c r="AQ123" t="s" s="27">
        <v>330</v>
      </c>
      <c r="AR123" s="28"/>
      <c r="AS123" s="25">
        <v>2</v>
      </c>
      <c r="AT123" s="28"/>
      <c r="AU123" s="28"/>
      <c r="AV123" s="28"/>
      <c r="AW123" s="28"/>
      <c r="AX123" s="28"/>
      <c r="AY123" s="28"/>
      <c r="AZ123" s="28"/>
      <c r="BA123" s="28"/>
      <c r="BB123" s="28"/>
      <c r="BC123" s="25">
        <v>4</v>
      </c>
      <c r="BD123" s="28"/>
      <c r="BE123" t="s" s="27">
        <v>331</v>
      </c>
    </row>
    <row r="124" ht="13.55" customHeight="1">
      <c r="A124" s="25">
        <v>6599906471</v>
      </c>
      <c r="B124" s="25">
        <v>167721399</v>
      </c>
      <c r="C124" s="26">
        <v>43091.782638888893</v>
      </c>
      <c r="D124" s="26">
        <v>43091.7834375</v>
      </c>
      <c r="E124" t="s" s="27">
        <v>332</v>
      </c>
      <c r="F124" s="28"/>
      <c r="G124" s="28"/>
      <c r="H124" s="28"/>
      <c r="I124" s="28"/>
      <c r="J124" s="28"/>
      <c r="K124" s="28"/>
      <c r="L124" s="25">
        <v>3</v>
      </c>
      <c r="M124" s="28"/>
      <c r="N124" s="28"/>
      <c r="O124" s="28"/>
      <c r="P124" s="28"/>
      <c r="Q124" s="25">
        <v>2</v>
      </c>
      <c r="R124" s="28"/>
      <c r="S124" s="25">
        <v>2</v>
      </c>
      <c r="T124" s="28"/>
      <c r="U124" s="28"/>
      <c r="V124" s="28"/>
      <c r="W124" s="28"/>
      <c r="X124" s="28"/>
      <c r="Y124" s="25">
        <v>2</v>
      </c>
      <c r="Z124" s="28"/>
      <c r="AA124" s="28"/>
      <c r="AB124" s="28"/>
      <c r="AC124" s="28"/>
      <c r="AD124" s="25">
        <v>1</v>
      </c>
      <c r="AE124" s="28"/>
      <c r="AF124" s="28"/>
      <c r="AG124" s="28"/>
      <c r="AH124" s="28"/>
      <c r="AI124" s="28"/>
      <c r="AJ124" s="25">
        <v>1</v>
      </c>
      <c r="AK124" s="28"/>
      <c r="AL124" s="28"/>
      <c r="AM124" s="28"/>
      <c r="AN124" s="28"/>
      <c r="AO124" s="28"/>
      <c r="AP124" s="28"/>
      <c r="AQ124" t="s" s="27">
        <v>333</v>
      </c>
      <c r="AR124" s="28"/>
      <c r="AS124" s="28"/>
      <c r="AT124" s="25">
        <v>3</v>
      </c>
      <c r="AU124" s="28"/>
      <c r="AV124" s="28"/>
      <c r="AW124" s="28"/>
      <c r="AX124" s="28"/>
      <c r="AY124" s="28"/>
      <c r="AZ124" s="28"/>
      <c r="BA124" s="28"/>
      <c r="BB124" s="25">
        <v>3</v>
      </c>
      <c r="BC124" s="28"/>
      <c r="BD124" s="28"/>
      <c r="BE124" s="28"/>
    </row>
    <row r="125" ht="13.55" customHeight="1">
      <c r="A125" s="25">
        <v>6599906225</v>
      </c>
      <c r="B125" s="25">
        <v>167721399</v>
      </c>
      <c r="C125" s="26">
        <v>43091.781550925924</v>
      </c>
      <c r="D125" s="26">
        <v>43091.783136574071</v>
      </c>
      <c r="E125" t="s" s="27">
        <v>334</v>
      </c>
      <c r="F125" s="28"/>
      <c r="G125" s="28"/>
      <c r="H125" s="28"/>
      <c r="I125" s="28"/>
      <c r="J125" s="28"/>
      <c r="K125" s="28"/>
      <c r="L125" s="28"/>
      <c r="M125" s="25">
        <v>4</v>
      </c>
      <c r="N125" s="28"/>
      <c r="O125" s="28"/>
      <c r="P125" s="25">
        <v>1</v>
      </c>
      <c r="Q125" s="28"/>
      <c r="R125" s="28"/>
      <c r="S125" s="28"/>
      <c r="T125" s="28"/>
      <c r="U125" s="28"/>
      <c r="V125" s="28"/>
      <c r="W125" s="25">
        <v>6</v>
      </c>
      <c r="X125" s="28"/>
      <c r="Y125" s="25">
        <v>2</v>
      </c>
      <c r="Z125" s="28"/>
      <c r="AA125" s="28"/>
      <c r="AB125" s="28"/>
      <c r="AC125" s="28"/>
      <c r="AD125" s="25">
        <v>1</v>
      </c>
      <c r="AE125" s="28"/>
      <c r="AF125" s="28"/>
      <c r="AG125" s="28"/>
      <c r="AH125" s="28"/>
      <c r="AI125" s="28"/>
      <c r="AJ125" s="25">
        <v>1</v>
      </c>
      <c r="AK125" s="25">
        <v>2</v>
      </c>
      <c r="AL125" s="28"/>
      <c r="AM125" s="28"/>
      <c r="AN125" s="28"/>
      <c r="AO125" s="28"/>
      <c r="AP125" s="25">
        <v>7</v>
      </c>
      <c r="AQ125" t="s" s="27">
        <v>335</v>
      </c>
      <c r="AR125" s="28"/>
      <c r="AS125" s="28"/>
      <c r="AT125" s="25">
        <v>3</v>
      </c>
      <c r="AU125" s="28"/>
      <c r="AV125" s="28"/>
      <c r="AW125" s="28"/>
      <c r="AX125" s="28"/>
      <c r="AY125" s="28"/>
      <c r="AZ125" s="28"/>
      <c r="BA125" s="28"/>
      <c r="BB125" s="25">
        <v>3</v>
      </c>
      <c r="BC125" s="28"/>
      <c r="BD125" s="28"/>
      <c r="BE125" s="28"/>
    </row>
    <row r="126" ht="13.55" customHeight="1">
      <c r="A126" s="25">
        <v>6599905574</v>
      </c>
      <c r="B126" s="25">
        <v>167721399</v>
      </c>
      <c r="C126" s="26">
        <v>43091.778935185182</v>
      </c>
      <c r="D126" s="26">
        <v>43091.782349537039</v>
      </c>
      <c r="E126" t="s" s="27">
        <v>336</v>
      </c>
      <c r="F126" s="28"/>
      <c r="G126" s="28"/>
      <c r="H126" s="28"/>
      <c r="I126" s="28"/>
      <c r="J126" s="28"/>
      <c r="K126" s="25">
        <v>2</v>
      </c>
      <c r="L126" s="28"/>
      <c r="M126" s="28"/>
      <c r="N126" s="28"/>
      <c r="O126" s="28"/>
      <c r="P126" s="28"/>
      <c r="Q126" s="25">
        <v>2</v>
      </c>
      <c r="R126" s="25">
        <v>1</v>
      </c>
      <c r="S126" s="28"/>
      <c r="T126" s="28"/>
      <c r="U126" s="28"/>
      <c r="V126" s="28"/>
      <c r="W126" s="28"/>
      <c r="X126" s="28"/>
      <c r="Y126" s="25">
        <v>2</v>
      </c>
      <c r="Z126" s="28"/>
      <c r="AA126" s="28"/>
      <c r="AB126" s="28"/>
      <c r="AC126" s="28"/>
      <c r="AD126" s="28"/>
      <c r="AE126" s="25">
        <v>2</v>
      </c>
      <c r="AF126" s="28"/>
      <c r="AG126" s="28"/>
      <c r="AH126" s="28"/>
      <c r="AI126" s="28"/>
      <c r="AJ126" s="25">
        <v>1</v>
      </c>
      <c r="AK126" s="28"/>
      <c r="AL126" s="25">
        <v>3</v>
      </c>
      <c r="AM126" s="28"/>
      <c r="AN126" s="28"/>
      <c r="AO126" s="28"/>
      <c r="AP126" s="28"/>
      <c r="AQ126" t="s" s="27">
        <v>337</v>
      </c>
      <c r="AR126" s="25">
        <v>1</v>
      </c>
      <c r="AS126" s="28"/>
      <c r="AT126" s="28"/>
      <c r="AU126" s="28"/>
      <c r="AV126" s="28"/>
      <c r="AW126" s="28"/>
      <c r="AX126" s="28"/>
      <c r="AY126" s="28"/>
      <c r="AZ126" s="28"/>
      <c r="BA126" s="28"/>
      <c r="BB126" s="25">
        <v>3</v>
      </c>
      <c r="BC126" s="28"/>
      <c r="BD126" s="28"/>
      <c r="BE126" s="28"/>
    </row>
    <row r="127" ht="13.55" customHeight="1">
      <c r="A127" s="25">
        <v>6599904835</v>
      </c>
      <c r="B127" s="25">
        <v>167721399</v>
      </c>
      <c r="C127" s="26">
        <v>43091.78</v>
      </c>
      <c r="D127" s="26">
        <v>43091.781377314823</v>
      </c>
      <c r="E127" t="s" s="27">
        <v>338</v>
      </c>
      <c r="F127" s="28"/>
      <c r="G127" s="28"/>
      <c r="H127" s="28"/>
      <c r="I127" s="28"/>
      <c r="J127" s="28"/>
      <c r="K127" s="25">
        <v>2</v>
      </c>
      <c r="L127" s="28"/>
      <c r="M127" s="28"/>
      <c r="N127" s="28"/>
      <c r="O127" s="28"/>
      <c r="P127" s="25">
        <v>1</v>
      </c>
      <c r="Q127" s="28"/>
      <c r="R127" s="28"/>
      <c r="S127" s="25">
        <v>2</v>
      </c>
      <c r="T127" s="28"/>
      <c r="U127" s="28"/>
      <c r="V127" s="28"/>
      <c r="W127" s="28"/>
      <c r="X127" s="28"/>
      <c r="Y127" s="25">
        <v>2</v>
      </c>
      <c r="Z127" s="28"/>
      <c r="AA127" s="28"/>
      <c r="AB127" s="28"/>
      <c r="AC127" s="28"/>
      <c r="AD127" s="28"/>
      <c r="AE127" s="25">
        <v>2</v>
      </c>
      <c r="AF127" s="28"/>
      <c r="AG127" s="28"/>
      <c r="AH127" s="28"/>
      <c r="AI127" s="28"/>
      <c r="AJ127" s="25">
        <v>1</v>
      </c>
      <c r="AK127" s="28"/>
      <c r="AL127" s="28"/>
      <c r="AM127" s="28"/>
      <c r="AN127" s="28"/>
      <c r="AO127" s="28"/>
      <c r="AP127" s="28"/>
      <c r="AQ127" t="s" s="27">
        <v>339</v>
      </c>
      <c r="AR127" s="28"/>
      <c r="AS127" s="28"/>
      <c r="AT127" s="28"/>
      <c r="AU127" s="25">
        <v>4</v>
      </c>
      <c r="AV127" s="28"/>
      <c r="AW127" s="28"/>
      <c r="AX127" s="28"/>
      <c r="AY127" s="28"/>
      <c r="AZ127" s="28"/>
      <c r="BA127" s="28"/>
      <c r="BB127" s="25">
        <v>3</v>
      </c>
      <c r="BC127" s="28"/>
      <c r="BD127" s="28"/>
      <c r="BE127" s="28"/>
    </row>
    <row r="128" ht="13.55" customHeight="1">
      <c r="A128" s="25">
        <v>6599903733</v>
      </c>
      <c r="B128" s="25">
        <v>167721399</v>
      </c>
      <c r="C128" s="26">
        <v>43091.778912037043</v>
      </c>
      <c r="D128" s="26">
        <v>43091.780011574083</v>
      </c>
      <c r="E128" t="s" s="27">
        <v>340</v>
      </c>
      <c r="F128" s="28"/>
      <c r="G128" s="28"/>
      <c r="H128" s="28"/>
      <c r="I128" s="28"/>
      <c r="J128" s="28"/>
      <c r="K128" s="25">
        <v>2</v>
      </c>
      <c r="L128" s="28"/>
      <c r="M128" s="28"/>
      <c r="N128" s="28"/>
      <c r="O128" s="28"/>
      <c r="P128" s="25">
        <v>1</v>
      </c>
      <c r="Q128" s="28"/>
      <c r="R128" s="28"/>
      <c r="S128" s="25">
        <v>2</v>
      </c>
      <c r="T128" s="28"/>
      <c r="U128" s="28"/>
      <c r="V128" s="28"/>
      <c r="W128" s="28"/>
      <c r="X128" s="28"/>
      <c r="Y128" s="28"/>
      <c r="Z128" s="28"/>
      <c r="AA128" s="25">
        <v>4</v>
      </c>
      <c r="AB128" s="28"/>
      <c r="AC128" s="28"/>
      <c r="AD128" s="28"/>
      <c r="AE128" s="28"/>
      <c r="AF128" s="28"/>
      <c r="AG128" s="25">
        <v>4</v>
      </c>
      <c r="AH128" s="28"/>
      <c r="AI128" s="28"/>
      <c r="AJ128" s="25">
        <v>1</v>
      </c>
      <c r="AK128" s="28"/>
      <c r="AL128" s="28"/>
      <c r="AM128" s="28"/>
      <c r="AN128" s="28"/>
      <c r="AO128" s="28"/>
      <c r="AP128" s="28"/>
      <c r="AQ128" t="s" s="27">
        <v>341</v>
      </c>
      <c r="AR128" s="28"/>
      <c r="AS128" s="28"/>
      <c r="AT128" s="28"/>
      <c r="AU128" s="28"/>
      <c r="AV128" s="28"/>
      <c r="AW128" s="28"/>
      <c r="AX128" s="28"/>
      <c r="AY128" s="25">
        <v>8</v>
      </c>
      <c r="AZ128" s="28"/>
      <c r="BA128" s="28"/>
      <c r="BB128" s="25">
        <v>3</v>
      </c>
      <c r="BC128" s="28"/>
      <c r="BD128" s="28"/>
      <c r="BE128" s="28"/>
    </row>
    <row r="129" ht="13.55" customHeight="1">
      <c r="A129" s="25">
        <v>6599900160</v>
      </c>
      <c r="B129" s="25">
        <v>167721399</v>
      </c>
      <c r="C129" s="26">
        <v>43091.7746412037</v>
      </c>
      <c r="D129" s="26">
        <v>43091.775636574072</v>
      </c>
      <c r="E129" t="s" s="27">
        <v>342</v>
      </c>
      <c r="F129" s="28"/>
      <c r="G129" s="28"/>
      <c r="H129" s="28"/>
      <c r="I129" s="28"/>
      <c r="J129" s="28"/>
      <c r="K129" s="28"/>
      <c r="L129" s="28"/>
      <c r="M129" s="25">
        <v>4</v>
      </c>
      <c r="N129" s="28"/>
      <c r="O129" s="28"/>
      <c r="P129" s="25">
        <v>1</v>
      </c>
      <c r="Q129" s="28"/>
      <c r="R129" s="25">
        <v>1</v>
      </c>
      <c r="S129" s="28"/>
      <c r="T129" s="28"/>
      <c r="U129" s="28"/>
      <c r="V129" s="28"/>
      <c r="W129" s="28"/>
      <c r="X129" s="28"/>
      <c r="Y129" s="25">
        <v>2</v>
      </c>
      <c r="Z129" s="28"/>
      <c r="AA129" s="28"/>
      <c r="AB129" s="28"/>
      <c r="AC129" s="28"/>
      <c r="AD129" s="28"/>
      <c r="AE129" s="25">
        <v>2</v>
      </c>
      <c r="AF129" s="28"/>
      <c r="AG129" s="28"/>
      <c r="AH129" s="28"/>
      <c r="AI129" s="28"/>
      <c r="AJ129" s="25">
        <v>1</v>
      </c>
      <c r="AK129" s="28"/>
      <c r="AL129" s="28"/>
      <c r="AM129" s="28"/>
      <c r="AN129" s="28"/>
      <c r="AO129" s="28"/>
      <c r="AP129" s="28"/>
      <c r="AQ129" t="s" s="27">
        <v>343</v>
      </c>
      <c r="AR129" s="28"/>
      <c r="AS129" s="28"/>
      <c r="AT129" s="28"/>
      <c r="AU129" s="28"/>
      <c r="AV129" s="28"/>
      <c r="AW129" s="28"/>
      <c r="AX129" s="28"/>
      <c r="AY129" s="25">
        <v>8</v>
      </c>
      <c r="AZ129" s="28"/>
      <c r="BA129" s="28"/>
      <c r="BB129" s="25">
        <v>3</v>
      </c>
      <c r="BC129" s="28"/>
      <c r="BD129" s="28"/>
      <c r="BE129" s="28"/>
    </row>
    <row r="130" ht="13.55" customHeight="1">
      <c r="A130" s="29">
        <v>6599898801</v>
      </c>
      <c r="B130" s="29">
        <v>167721399</v>
      </c>
      <c r="C130" s="30">
        <v>43091.773206018523</v>
      </c>
      <c r="D130" s="30">
        <v>43091.773900462962</v>
      </c>
      <c r="E130" t="s" s="31">
        <v>344</v>
      </c>
      <c r="F130" s="32"/>
      <c r="G130" s="32"/>
      <c r="H130" s="32"/>
      <c r="I130" s="32"/>
      <c r="J130" s="32"/>
      <c r="K130" s="32"/>
      <c r="L130" s="32"/>
      <c r="M130" s="32"/>
      <c r="N130" s="29">
        <v>5</v>
      </c>
      <c r="O130" s="32"/>
      <c r="P130" s="32"/>
      <c r="Q130" s="29">
        <v>2</v>
      </c>
      <c r="R130" s="32"/>
      <c r="S130" s="29">
        <v>2</v>
      </c>
      <c r="T130" s="32"/>
      <c r="U130" s="32"/>
      <c r="V130" s="32"/>
      <c r="W130" s="32"/>
      <c r="X130" s="32"/>
      <c r="Y130" s="29">
        <v>2</v>
      </c>
      <c r="Z130" s="32"/>
      <c r="AA130" s="32"/>
      <c r="AB130" s="32"/>
      <c r="AC130" s="32"/>
      <c r="AD130" s="29">
        <v>1</v>
      </c>
      <c r="AE130" s="32"/>
      <c r="AF130" s="32"/>
      <c r="AG130" s="32"/>
      <c r="AH130" s="32"/>
      <c r="AI130" s="32"/>
      <c r="AJ130" s="32"/>
      <c r="AK130" s="32"/>
      <c r="AL130" s="32"/>
      <c r="AM130" s="32"/>
      <c r="AN130" s="32"/>
      <c r="AO130" s="29">
        <v>6</v>
      </c>
      <c r="AP130" s="32"/>
      <c r="AQ130" t="s" s="31">
        <v>345</v>
      </c>
      <c r="AR130" s="32"/>
      <c r="AS130" s="32"/>
      <c r="AT130" s="29">
        <v>3</v>
      </c>
      <c r="AU130" s="32"/>
      <c r="AV130" s="32"/>
      <c r="AW130" s="32"/>
      <c r="AX130" s="32"/>
      <c r="AY130" s="32"/>
      <c r="AZ130" s="32"/>
      <c r="BA130" s="32"/>
      <c r="BB130" s="29">
        <v>3</v>
      </c>
      <c r="BC130" s="32"/>
      <c r="BD130" s="32"/>
      <c r="BE130" s="32"/>
    </row>
    <row r="131" ht="15" customHeight="1">
      <c r="A131" s="15">
        <v>6599896344</v>
      </c>
      <c r="B131" s="16">
        <v>167721399</v>
      </c>
      <c r="C131" s="17">
        <v>43091.7702662037</v>
      </c>
      <c r="D131" s="17">
        <v>43091.770914351851</v>
      </c>
      <c r="E131" t="s" s="18">
        <v>346</v>
      </c>
      <c r="F131" s="19"/>
      <c r="G131" s="19"/>
      <c r="H131" s="19"/>
      <c r="I131" s="19"/>
      <c r="J131" s="19"/>
      <c r="K131" s="16">
        <v>2</v>
      </c>
      <c r="L131" s="19"/>
      <c r="M131" s="19"/>
      <c r="N131" s="19"/>
      <c r="O131" s="19"/>
      <c r="P131" s="16">
        <v>1</v>
      </c>
      <c r="Q131" s="19"/>
      <c r="R131" s="19"/>
      <c r="S131" s="16">
        <v>2</v>
      </c>
      <c r="T131" s="19"/>
      <c r="U131" s="19"/>
      <c r="V131" s="19"/>
      <c r="W131" s="19"/>
      <c r="X131" s="19"/>
      <c r="Y131" s="16">
        <v>2</v>
      </c>
      <c r="Z131" s="19"/>
      <c r="AA131" s="19"/>
      <c r="AB131" s="19"/>
      <c r="AC131" s="19"/>
      <c r="AD131" s="19"/>
      <c r="AE131" s="16">
        <v>2</v>
      </c>
      <c r="AF131" s="19"/>
      <c r="AG131" s="19"/>
      <c r="AH131" s="19"/>
      <c r="AI131" s="19"/>
      <c r="AJ131" s="19"/>
      <c r="AK131" s="16">
        <v>2</v>
      </c>
      <c r="AL131" s="19"/>
      <c r="AM131" s="19"/>
      <c r="AN131" s="19"/>
      <c r="AO131" s="19"/>
      <c r="AP131" s="19"/>
      <c r="AQ131" t="s" s="18">
        <v>347</v>
      </c>
      <c r="AR131" s="19"/>
      <c r="AS131" s="19"/>
      <c r="AT131" s="19"/>
      <c r="AU131" s="19"/>
      <c r="AV131" s="19"/>
      <c r="AW131" s="19"/>
      <c r="AX131" s="19"/>
      <c r="AY131" s="16">
        <v>8</v>
      </c>
      <c r="AZ131" s="16">
        <v>1</v>
      </c>
      <c r="BA131" s="19"/>
      <c r="BB131" s="19"/>
      <c r="BC131" s="19"/>
      <c r="BD131" s="19"/>
      <c r="BE131" t="s" s="20">
        <v>348</v>
      </c>
    </row>
    <row r="132" ht="13.55" customHeight="1">
      <c r="A132" s="21">
        <v>6599892456</v>
      </c>
      <c r="B132" s="21">
        <v>167721399</v>
      </c>
      <c r="C132" s="22">
        <v>43091.765532407408</v>
      </c>
      <c r="D132" s="22">
        <v>43091.766226851847</v>
      </c>
      <c r="E132" t="s" s="23">
        <v>349</v>
      </c>
      <c r="F132" s="24"/>
      <c r="G132" s="24"/>
      <c r="H132" s="24"/>
      <c r="I132" s="24"/>
      <c r="J132" s="24"/>
      <c r="K132" s="21">
        <v>2</v>
      </c>
      <c r="L132" s="24"/>
      <c r="M132" s="24"/>
      <c r="N132" s="24"/>
      <c r="O132" s="24"/>
      <c r="P132" s="21">
        <v>1</v>
      </c>
      <c r="Q132" s="24"/>
      <c r="R132" s="21">
        <v>1</v>
      </c>
      <c r="S132" s="24"/>
      <c r="T132" s="24"/>
      <c r="U132" s="24"/>
      <c r="V132" s="24"/>
      <c r="W132" s="24"/>
      <c r="X132" s="24"/>
      <c r="Y132" s="21">
        <v>2</v>
      </c>
      <c r="Z132" s="24"/>
      <c r="AA132" s="24"/>
      <c r="AB132" s="24"/>
      <c r="AC132" s="24"/>
      <c r="AD132" s="21">
        <v>1</v>
      </c>
      <c r="AE132" s="24"/>
      <c r="AF132" s="24"/>
      <c r="AG132" s="24"/>
      <c r="AH132" s="24"/>
      <c r="AI132" s="24"/>
      <c r="AJ132" s="21">
        <v>1</v>
      </c>
      <c r="AK132" s="24"/>
      <c r="AL132" s="24"/>
      <c r="AM132" s="24"/>
      <c r="AN132" s="24"/>
      <c r="AO132" s="24"/>
      <c r="AP132" s="24"/>
      <c r="AQ132" t="s" s="23">
        <v>350</v>
      </c>
      <c r="AR132" s="24"/>
      <c r="AS132" s="21">
        <v>2</v>
      </c>
      <c r="AT132" s="24"/>
      <c r="AU132" s="24"/>
      <c r="AV132" s="24"/>
      <c r="AW132" s="24"/>
      <c r="AX132" s="24"/>
      <c r="AY132" s="24"/>
      <c r="AZ132" s="24"/>
      <c r="BA132" s="24"/>
      <c r="BB132" s="21">
        <v>3</v>
      </c>
      <c r="BC132" s="24"/>
      <c r="BD132" s="24"/>
      <c r="BE132" s="24"/>
    </row>
    <row r="133" ht="13.55" customHeight="1">
      <c r="A133" s="25">
        <v>6599888612</v>
      </c>
      <c r="B133" s="25">
        <v>167721399</v>
      </c>
      <c r="C133" s="26">
        <v>43091.760729166657</v>
      </c>
      <c r="D133" s="26">
        <v>43091.761574074073</v>
      </c>
      <c r="E133" t="s" s="27">
        <v>351</v>
      </c>
      <c r="F133" s="28"/>
      <c r="G133" s="28"/>
      <c r="H133" s="28"/>
      <c r="I133" s="28"/>
      <c r="J133" s="28"/>
      <c r="K133" s="25">
        <v>2</v>
      </c>
      <c r="L133" s="28"/>
      <c r="M133" s="28"/>
      <c r="N133" s="28"/>
      <c r="O133" s="28"/>
      <c r="P133" s="25">
        <v>1</v>
      </c>
      <c r="Q133" s="28"/>
      <c r="R133" s="25">
        <v>1</v>
      </c>
      <c r="S133" s="28"/>
      <c r="T133" s="28"/>
      <c r="U133" s="28"/>
      <c r="V133" s="28"/>
      <c r="W133" s="28"/>
      <c r="X133" s="28"/>
      <c r="Y133" s="28"/>
      <c r="Z133" s="25">
        <v>3</v>
      </c>
      <c r="AA133" s="28"/>
      <c r="AB133" s="28"/>
      <c r="AC133" s="28"/>
      <c r="AD133" s="25">
        <v>1</v>
      </c>
      <c r="AE133" s="28"/>
      <c r="AF133" s="28"/>
      <c r="AG133" s="28"/>
      <c r="AH133" s="28"/>
      <c r="AI133" s="28"/>
      <c r="AJ133" s="25">
        <v>1</v>
      </c>
      <c r="AK133" s="25">
        <v>2</v>
      </c>
      <c r="AL133" s="28"/>
      <c r="AM133" s="28"/>
      <c r="AN133" s="28"/>
      <c r="AO133" s="28"/>
      <c r="AP133" s="28"/>
      <c r="AQ133" t="s" s="27">
        <v>352</v>
      </c>
      <c r="AR133" s="28"/>
      <c r="AS133" s="28"/>
      <c r="AT133" s="25">
        <v>3</v>
      </c>
      <c r="AU133" s="28"/>
      <c r="AV133" s="28"/>
      <c r="AW133" s="28"/>
      <c r="AX133" s="28"/>
      <c r="AY133" s="28"/>
      <c r="AZ133" s="28"/>
      <c r="BA133" s="28"/>
      <c r="BB133" s="25">
        <v>3</v>
      </c>
      <c r="BC133" s="28"/>
      <c r="BD133" s="28"/>
      <c r="BE133" s="28"/>
    </row>
    <row r="134" ht="13.55" customHeight="1">
      <c r="A134" s="25">
        <v>6599886910</v>
      </c>
      <c r="B134" s="25">
        <v>167721399</v>
      </c>
      <c r="C134" s="26">
        <v>43091.758009259262</v>
      </c>
      <c r="D134" s="26">
        <v>43091.759479166663</v>
      </c>
      <c r="E134" t="s" s="27">
        <v>353</v>
      </c>
      <c r="F134" s="28"/>
      <c r="G134" s="28"/>
      <c r="H134" s="28"/>
      <c r="I134" s="28"/>
      <c r="J134" s="28"/>
      <c r="K134" s="28"/>
      <c r="L134" s="28"/>
      <c r="M134" s="25">
        <v>4</v>
      </c>
      <c r="N134" s="28"/>
      <c r="O134" s="28"/>
      <c r="P134" s="25">
        <v>1</v>
      </c>
      <c r="Q134" s="28"/>
      <c r="R134" s="28"/>
      <c r="S134" s="28"/>
      <c r="T134" s="28"/>
      <c r="U134" s="25">
        <v>4</v>
      </c>
      <c r="V134" s="28"/>
      <c r="W134" s="28"/>
      <c r="X134" s="28"/>
      <c r="Y134" s="28"/>
      <c r="Z134" s="25">
        <v>3</v>
      </c>
      <c r="AA134" s="28"/>
      <c r="AB134" s="28"/>
      <c r="AC134" s="28"/>
      <c r="AD134" s="28"/>
      <c r="AE134" s="25">
        <v>2</v>
      </c>
      <c r="AF134" s="28"/>
      <c r="AG134" s="28"/>
      <c r="AH134" s="28"/>
      <c r="AI134" s="28"/>
      <c r="AJ134" s="25">
        <v>1</v>
      </c>
      <c r="AK134" s="28"/>
      <c r="AL134" s="28"/>
      <c r="AM134" s="28"/>
      <c r="AN134" s="28"/>
      <c r="AO134" s="28"/>
      <c r="AP134" s="28"/>
      <c r="AQ134" t="s" s="27">
        <v>354</v>
      </c>
      <c r="AR134" s="28"/>
      <c r="AS134" s="28"/>
      <c r="AT134" s="25">
        <v>3</v>
      </c>
      <c r="AU134" s="28"/>
      <c r="AV134" s="28"/>
      <c r="AW134" s="28"/>
      <c r="AX134" s="28"/>
      <c r="AY134" s="28"/>
      <c r="AZ134" s="28"/>
      <c r="BA134" s="28"/>
      <c r="BB134" s="25">
        <v>3</v>
      </c>
      <c r="BC134" s="28"/>
      <c r="BD134" s="28"/>
      <c r="BE134" s="28"/>
    </row>
    <row r="135" ht="13.55" customHeight="1">
      <c r="A135" s="25">
        <v>6599873241</v>
      </c>
      <c r="B135" s="25">
        <v>167721399</v>
      </c>
      <c r="C135" s="26">
        <v>43091.743506944447</v>
      </c>
      <c r="D135" s="26">
        <v>43091.744131944448</v>
      </c>
      <c r="E135" t="s" s="27">
        <v>355</v>
      </c>
      <c r="F135" s="28"/>
      <c r="G135" s="28"/>
      <c r="H135" s="28"/>
      <c r="I135" s="28"/>
      <c r="J135" s="28"/>
      <c r="K135" s="25">
        <v>2</v>
      </c>
      <c r="L135" s="28"/>
      <c r="M135" s="28"/>
      <c r="N135" s="28"/>
      <c r="O135" s="28"/>
      <c r="P135" s="25">
        <v>1</v>
      </c>
      <c r="Q135" s="28"/>
      <c r="R135" s="28"/>
      <c r="S135" s="28"/>
      <c r="T135" s="25">
        <v>3</v>
      </c>
      <c r="U135" s="28"/>
      <c r="V135" s="28"/>
      <c r="W135" s="28"/>
      <c r="X135" s="28"/>
      <c r="Y135" s="28"/>
      <c r="Z135" s="28"/>
      <c r="AA135" s="25">
        <v>4</v>
      </c>
      <c r="AB135" s="28"/>
      <c r="AC135" s="28"/>
      <c r="AD135" s="28"/>
      <c r="AE135" s="28"/>
      <c r="AF135" s="28"/>
      <c r="AG135" s="25">
        <v>4</v>
      </c>
      <c r="AH135" s="28"/>
      <c r="AI135" s="28"/>
      <c r="AJ135" s="25">
        <v>1</v>
      </c>
      <c r="AK135" s="25">
        <v>2</v>
      </c>
      <c r="AL135" s="28"/>
      <c r="AM135" s="28"/>
      <c r="AN135" s="28"/>
      <c r="AO135" s="28"/>
      <c r="AP135" s="28"/>
      <c r="AQ135" t="s" s="27">
        <v>356</v>
      </c>
      <c r="AR135" s="28"/>
      <c r="AS135" s="28"/>
      <c r="AT135" s="28"/>
      <c r="AU135" s="28"/>
      <c r="AV135" s="28"/>
      <c r="AW135" s="28"/>
      <c r="AX135" s="28"/>
      <c r="AY135" s="28"/>
      <c r="AZ135" s="28"/>
      <c r="BA135" s="28"/>
      <c r="BB135" s="28"/>
      <c r="BC135" s="28"/>
      <c r="BD135" s="28"/>
      <c r="BE135" s="28"/>
    </row>
    <row r="136" ht="13.55" customHeight="1">
      <c r="A136" s="25">
        <v>6599871649</v>
      </c>
      <c r="B136" s="25">
        <v>167721399</v>
      </c>
      <c r="C136" s="26">
        <v>43091.741597222222</v>
      </c>
      <c r="D136" s="26">
        <v>43091.742442129631</v>
      </c>
      <c r="E136" t="s" s="27">
        <v>357</v>
      </c>
      <c r="F136" s="28"/>
      <c r="G136" s="28"/>
      <c r="H136" s="28"/>
      <c r="I136" s="28"/>
      <c r="J136" s="28"/>
      <c r="K136" s="25">
        <v>2</v>
      </c>
      <c r="L136" s="28"/>
      <c r="M136" s="28"/>
      <c r="N136" s="28"/>
      <c r="O136" s="28"/>
      <c r="P136" s="25">
        <v>1</v>
      </c>
      <c r="Q136" s="28"/>
      <c r="R136" s="28"/>
      <c r="S136" s="25">
        <v>2</v>
      </c>
      <c r="T136" s="28"/>
      <c r="U136" s="28"/>
      <c r="V136" s="28"/>
      <c r="W136" s="28"/>
      <c r="X136" s="28"/>
      <c r="Y136" s="28"/>
      <c r="Z136" s="28"/>
      <c r="AA136" s="25">
        <v>4</v>
      </c>
      <c r="AB136" s="28"/>
      <c r="AC136" s="28"/>
      <c r="AD136" s="28"/>
      <c r="AE136" s="28"/>
      <c r="AF136" s="28"/>
      <c r="AG136" s="25">
        <v>4</v>
      </c>
      <c r="AH136" s="28"/>
      <c r="AI136" s="28"/>
      <c r="AJ136" s="25">
        <v>1</v>
      </c>
      <c r="AK136" s="28"/>
      <c r="AL136" s="28"/>
      <c r="AM136" s="28"/>
      <c r="AN136" s="28"/>
      <c r="AO136" s="25">
        <v>6</v>
      </c>
      <c r="AP136" s="28"/>
      <c r="AQ136" t="s" s="27">
        <v>358</v>
      </c>
      <c r="AR136" s="28"/>
      <c r="AS136" s="28"/>
      <c r="AT136" s="25">
        <v>3</v>
      </c>
      <c r="AU136" s="28"/>
      <c r="AV136" s="28"/>
      <c r="AW136" s="28"/>
      <c r="AX136" s="28"/>
      <c r="AY136" s="28"/>
      <c r="AZ136" s="28"/>
      <c r="BA136" s="28"/>
      <c r="BB136" s="25">
        <v>3</v>
      </c>
      <c r="BC136" s="28"/>
      <c r="BD136" s="28"/>
      <c r="BE136" s="28"/>
    </row>
    <row r="137" ht="13.55" customHeight="1">
      <c r="A137" s="25">
        <v>6599870298</v>
      </c>
      <c r="B137" s="25">
        <v>167721399</v>
      </c>
      <c r="C137" s="26">
        <v>43091.740162037036</v>
      </c>
      <c r="D137" s="26">
        <v>43091.741018518522</v>
      </c>
      <c r="E137" t="s" s="27">
        <v>359</v>
      </c>
      <c r="F137" s="28"/>
      <c r="G137" s="28"/>
      <c r="H137" s="28"/>
      <c r="I137" s="28"/>
      <c r="J137" s="28"/>
      <c r="K137" s="28"/>
      <c r="L137" s="25">
        <v>3</v>
      </c>
      <c r="M137" s="28"/>
      <c r="N137" s="28"/>
      <c r="O137" s="28"/>
      <c r="P137" s="25">
        <v>1</v>
      </c>
      <c r="Q137" s="28"/>
      <c r="R137" s="28"/>
      <c r="S137" s="25">
        <v>2</v>
      </c>
      <c r="T137" s="28"/>
      <c r="U137" s="28"/>
      <c r="V137" s="28"/>
      <c r="W137" s="28"/>
      <c r="X137" s="28"/>
      <c r="Y137" s="28"/>
      <c r="Z137" s="25">
        <v>3</v>
      </c>
      <c r="AA137" s="28"/>
      <c r="AB137" s="28"/>
      <c r="AC137" s="28"/>
      <c r="AD137" s="28"/>
      <c r="AE137" s="28"/>
      <c r="AF137" s="25">
        <v>3</v>
      </c>
      <c r="AG137" s="28"/>
      <c r="AH137" s="28"/>
      <c r="AI137" s="28"/>
      <c r="AJ137" s="25">
        <v>1</v>
      </c>
      <c r="AK137" s="25">
        <v>2</v>
      </c>
      <c r="AL137" s="25">
        <v>3</v>
      </c>
      <c r="AM137" s="28"/>
      <c r="AN137" s="28"/>
      <c r="AO137" s="28"/>
      <c r="AP137" s="28"/>
      <c r="AQ137" t="s" s="27">
        <v>360</v>
      </c>
      <c r="AR137" s="25">
        <v>1</v>
      </c>
      <c r="AS137" s="28"/>
      <c r="AT137" s="28"/>
      <c r="AU137" s="28"/>
      <c r="AV137" s="28"/>
      <c r="AW137" s="28"/>
      <c r="AX137" s="28"/>
      <c r="AY137" s="28"/>
      <c r="AZ137" s="28"/>
      <c r="BA137" s="28"/>
      <c r="BB137" s="25">
        <v>3</v>
      </c>
      <c r="BC137" s="28"/>
      <c r="BD137" s="28"/>
      <c r="BE137" s="28"/>
    </row>
    <row r="138" ht="13.55" customHeight="1">
      <c r="A138" s="29">
        <v>6599869849</v>
      </c>
      <c r="B138" s="29">
        <v>167721399</v>
      </c>
      <c r="C138" s="30">
        <v>43091.736979166657</v>
      </c>
      <c r="D138" s="30">
        <v>43091.740532407413</v>
      </c>
      <c r="E138" t="s" s="31">
        <v>361</v>
      </c>
      <c r="F138" s="32"/>
      <c r="G138" s="32"/>
      <c r="H138" s="32"/>
      <c r="I138" s="32"/>
      <c r="J138" s="32"/>
      <c r="K138" s="32"/>
      <c r="L138" s="29">
        <v>3</v>
      </c>
      <c r="M138" s="32"/>
      <c r="N138" s="32"/>
      <c r="O138" s="32"/>
      <c r="P138" s="29">
        <v>1</v>
      </c>
      <c r="Q138" s="32"/>
      <c r="R138" s="32"/>
      <c r="S138" s="32"/>
      <c r="T138" s="32"/>
      <c r="U138" s="32"/>
      <c r="V138" s="32"/>
      <c r="W138" s="29">
        <v>6</v>
      </c>
      <c r="X138" s="32"/>
      <c r="Y138" s="29">
        <v>2</v>
      </c>
      <c r="Z138" s="32"/>
      <c r="AA138" s="32"/>
      <c r="AB138" s="32"/>
      <c r="AC138" s="32"/>
      <c r="AD138" s="29">
        <v>1</v>
      </c>
      <c r="AE138" s="32"/>
      <c r="AF138" s="32"/>
      <c r="AG138" s="32"/>
      <c r="AH138" s="32"/>
      <c r="AI138" s="32"/>
      <c r="AJ138" s="29">
        <v>1</v>
      </c>
      <c r="AK138" s="32"/>
      <c r="AL138" s="32"/>
      <c r="AM138" s="32"/>
      <c r="AN138" s="29">
        <v>5</v>
      </c>
      <c r="AO138" s="29">
        <v>6</v>
      </c>
      <c r="AP138" s="32"/>
      <c r="AQ138" t="s" s="31">
        <v>362</v>
      </c>
      <c r="AR138" s="32"/>
      <c r="AS138" s="32"/>
      <c r="AT138" s="32"/>
      <c r="AU138" s="32"/>
      <c r="AV138" s="32"/>
      <c r="AW138" s="32"/>
      <c r="AX138" s="32"/>
      <c r="AY138" s="29">
        <v>8</v>
      </c>
      <c r="AZ138" s="32"/>
      <c r="BA138" s="32"/>
      <c r="BB138" s="29">
        <v>3</v>
      </c>
      <c r="BC138" s="32"/>
      <c r="BD138" s="32"/>
      <c r="BE138" s="32"/>
    </row>
    <row r="139" ht="15" customHeight="1">
      <c r="A139" s="15">
        <v>6599867009</v>
      </c>
      <c r="B139" s="16">
        <v>167721399</v>
      </c>
      <c r="C139" s="17">
        <v>43091.736053240740</v>
      </c>
      <c r="D139" s="17">
        <v>43091.737465277780</v>
      </c>
      <c r="E139" t="s" s="18">
        <v>363</v>
      </c>
      <c r="F139" s="19"/>
      <c r="G139" s="19"/>
      <c r="H139" s="19"/>
      <c r="I139" s="19"/>
      <c r="J139" s="19"/>
      <c r="K139" s="19"/>
      <c r="L139" s="16">
        <v>3</v>
      </c>
      <c r="M139" s="19"/>
      <c r="N139" s="19"/>
      <c r="O139" s="19"/>
      <c r="P139" s="16">
        <v>1</v>
      </c>
      <c r="Q139" s="19"/>
      <c r="R139" s="19"/>
      <c r="S139" s="19"/>
      <c r="T139" s="16">
        <v>3</v>
      </c>
      <c r="U139" s="19"/>
      <c r="V139" s="19"/>
      <c r="W139" s="19"/>
      <c r="X139" s="19"/>
      <c r="Y139" s="19"/>
      <c r="Z139" s="16">
        <v>3</v>
      </c>
      <c r="AA139" s="19"/>
      <c r="AB139" s="19"/>
      <c r="AC139" s="19"/>
      <c r="AD139" s="19"/>
      <c r="AE139" s="19"/>
      <c r="AF139" s="16">
        <v>3</v>
      </c>
      <c r="AG139" s="19"/>
      <c r="AH139" s="19"/>
      <c r="AI139" s="19"/>
      <c r="AJ139" s="19"/>
      <c r="AK139" s="19"/>
      <c r="AL139" s="19"/>
      <c r="AM139" s="19"/>
      <c r="AN139" s="19"/>
      <c r="AO139" s="16">
        <v>6</v>
      </c>
      <c r="AP139" s="19"/>
      <c r="AQ139" t="s" s="18">
        <v>364</v>
      </c>
      <c r="AR139" s="19"/>
      <c r="AS139" s="19"/>
      <c r="AT139" s="16">
        <v>3</v>
      </c>
      <c r="AU139" s="19"/>
      <c r="AV139" s="19"/>
      <c r="AW139" s="19"/>
      <c r="AX139" s="19"/>
      <c r="AY139" s="19"/>
      <c r="AZ139" s="16">
        <v>1</v>
      </c>
      <c r="BA139" s="19"/>
      <c r="BB139" s="19"/>
      <c r="BC139" s="19"/>
      <c r="BD139" s="19"/>
      <c r="BE139" t="s" s="20">
        <v>365</v>
      </c>
    </row>
    <row r="140" ht="13.55" customHeight="1">
      <c r="A140" s="33">
        <v>6599863941</v>
      </c>
      <c r="B140" s="33">
        <v>167721399</v>
      </c>
      <c r="C140" s="40">
        <v>43091.733090277783</v>
      </c>
      <c r="D140" s="40">
        <v>43091.734039351853</v>
      </c>
      <c r="E140" t="s" s="34">
        <v>366</v>
      </c>
      <c r="F140" s="35"/>
      <c r="G140" s="35"/>
      <c r="H140" s="35"/>
      <c r="I140" s="35"/>
      <c r="J140" s="35"/>
      <c r="K140" s="33">
        <v>2</v>
      </c>
      <c r="L140" s="35"/>
      <c r="M140" s="35"/>
      <c r="N140" s="35"/>
      <c r="O140" s="35"/>
      <c r="P140" s="33">
        <v>1</v>
      </c>
      <c r="Q140" s="35"/>
      <c r="R140" s="33">
        <v>1</v>
      </c>
      <c r="S140" s="35"/>
      <c r="T140" s="35"/>
      <c r="U140" s="35"/>
      <c r="V140" s="35"/>
      <c r="W140" s="35"/>
      <c r="X140" s="35"/>
      <c r="Y140" s="33">
        <v>2</v>
      </c>
      <c r="Z140" s="35"/>
      <c r="AA140" s="35"/>
      <c r="AB140" s="35"/>
      <c r="AC140" s="35"/>
      <c r="AD140" s="35"/>
      <c r="AE140" s="33">
        <v>2</v>
      </c>
      <c r="AF140" s="35"/>
      <c r="AG140" s="35"/>
      <c r="AH140" s="35"/>
      <c r="AI140" s="35"/>
      <c r="AJ140" s="33">
        <v>1</v>
      </c>
      <c r="AK140" s="35"/>
      <c r="AL140" s="35"/>
      <c r="AM140" s="35"/>
      <c r="AN140" s="35"/>
      <c r="AO140" s="33">
        <v>6</v>
      </c>
      <c r="AP140" s="35"/>
      <c r="AQ140" t="s" s="34">
        <v>367</v>
      </c>
      <c r="AR140" s="33">
        <v>1</v>
      </c>
      <c r="AS140" s="35"/>
      <c r="AT140" s="35"/>
      <c r="AU140" s="35"/>
      <c r="AV140" s="35"/>
      <c r="AW140" s="35"/>
      <c r="AX140" s="35"/>
      <c r="AY140" s="35"/>
      <c r="AZ140" s="35"/>
      <c r="BA140" s="35"/>
      <c r="BB140" s="33">
        <v>3</v>
      </c>
      <c r="BC140" s="35"/>
      <c r="BD140" s="35"/>
      <c r="BE140" s="35"/>
    </row>
    <row r="141" ht="15" customHeight="1">
      <c r="A141" s="15">
        <v>6599862396</v>
      </c>
      <c r="B141" s="16">
        <v>167721399</v>
      </c>
      <c r="C141" s="17">
        <v>43091.7224074074</v>
      </c>
      <c r="D141" s="17">
        <v>43091.732337962960</v>
      </c>
      <c r="E141" t="s" s="18">
        <v>368</v>
      </c>
      <c r="F141" s="19"/>
      <c r="G141" s="19"/>
      <c r="H141" s="19"/>
      <c r="I141" s="19"/>
      <c r="J141" s="19"/>
      <c r="K141" s="19"/>
      <c r="L141" s="19"/>
      <c r="M141" s="19"/>
      <c r="N141" s="16">
        <v>5</v>
      </c>
      <c r="O141" s="19"/>
      <c r="P141" s="16">
        <v>1</v>
      </c>
      <c r="Q141" s="19"/>
      <c r="R141" s="19"/>
      <c r="S141" s="19"/>
      <c r="T141" s="19"/>
      <c r="U141" s="16">
        <v>4</v>
      </c>
      <c r="V141" s="19"/>
      <c r="W141" s="19"/>
      <c r="X141" s="16">
        <v>1</v>
      </c>
      <c r="Y141" s="19"/>
      <c r="Z141" s="19"/>
      <c r="AA141" s="19"/>
      <c r="AB141" s="19"/>
      <c r="AC141" s="19"/>
      <c r="AD141" s="16">
        <v>1</v>
      </c>
      <c r="AE141" s="19"/>
      <c r="AF141" s="19"/>
      <c r="AG141" s="19"/>
      <c r="AH141" s="19"/>
      <c r="AI141" s="19"/>
      <c r="AJ141" s="19"/>
      <c r="AK141" s="16">
        <v>2</v>
      </c>
      <c r="AL141" s="19"/>
      <c r="AM141" s="19"/>
      <c r="AN141" s="16">
        <v>5</v>
      </c>
      <c r="AO141" s="16">
        <v>6</v>
      </c>
      <c r="AP141" s="19"/>
      <c r="AQ141" t="s" s="18">
        <v>369</v>
      </c>
      <c r="AR141" s="19"/>
      <c r="AS141" s="19"/>
      <c r="AT141" s="19"/>
      <c r="AU141" s="19"/>
      <c r="AV141" s="19"/>
      <c r="AW141" s="19"/>
      <c r="AX141" s="19"/>
      <c r="AY141" s="16">
        <v>8</v>
      </c>
      <c r="AZ141" s="19"/>
      <c r="BA141" s="16">
        <v>2</v>
      </c>
      <c r="BB141" s="19"/>
      <c r="BC141" s="19"/>
      <c r="BD141" s="19"/>
      <c r="BE141" t="s" s="20">
        <v>370</v>
      </c>
    </row>
    <row r="142" ht="13.55" customHeight="1">
      <c r="A142" s="21">
        <v>6599845404</v>
      </c>
      <c r="B142" s="21">
        <v>167721399</v>
      </c>
      <c r="C142" s="22">
        <v>43091.713877314818</v>
      </c>
      <c r="D142" s="22">
        <v>43091.7146412037</v>
      </c>
      <c r="E142" t="s" s="23">
        <v>371</v>
      </c>
      <c r="F142" s="24"/>
      <c r="G142" s="24"/>
      <c r="H142" s="24"/>
      <c r="I142" s="24"/>
      <c r="J142" s="24"/>
      <c r="K142" s="24"/>
      <c r="L142" s="21">
        <v>3</v>
      </c>
      <c r="M142" s="24"/>
      <c r="N142" s="24"/>
      <c r="O142" s="24"/>
      <c r="P142" s="24"/>
      <c r="Q142" s="21">
        <v>2</v>
      </c>
      <c r="R142" s="21">
        <v>1</v>
      </c>
      <c r="S142" s="24"/>
      <c r="T142" s="24"/>
      <c r="U142" s="24"/>
      <c r="V142" s="24"/>
      <c r="W142" s="24"/>
      <c r="X142" s="24"/>
      <c r="Y142" s="24"/>
      <c r="Z142" s="21">
        <v>3</v>
      </c>
      <c r="AA142" s="24"/>
      <c r="AB142" s="24"/>
      <c r="AC142" s="24"/>
      <c r="AD142" s="21">
        <v>1</v>
      </c>
      <c r="AE142" s="24"/>
      <c r="AF142" s="24"/>
      <c r="AG142" s="24"/>
      <c r="AH142" s="24"/>
      <c r="AI142" s="24"/>
      <c r="AJ142" s="21">
        <v>1</v>
      </c>
      <c r="AK142" s="21">
        <v>2</v>
      </c>
      <c r="AL142" s="21">
        <v>3</v>
      </c>
      <c r="AM142" s="24"/>
      <c r="AN142" s="24"/>
      <c r="AO142" s="24"/>
      <c r="AP142" s="24"/>
      <c r="AQ142" t="s" s="23">
        <v>372</v>
      </c>
      <c r="AR142" s="21">
        <v>1</v>
      </c>
      <c r="AS142" s="24"/>
      <c r="AT142" s="24"/>
      <c r="AU142" s="24"/>
      <c r="AV142" s="24"/>
      <c r="AW142" s="24"/>
      <c r="AX142" s="24"/>
      <c r="AY142" s="24"/>
      <c r="AZ142" s="24"/>
      <c r="BA142" s="24"/>
      <c r="BB142" s="24"/>
      <c r="BC142" s="21">
        <v>4</v>
      </c>
      <c r="BD142" s="24"/>
      <c r="BE142" s="24"/>
    </row>
    <row r="143" ht="13.55" customHeight="1">
      <c r="A143" s="25">
        <v>6599843210</v>
      </c>
      <c r="B143" s="25">
        <v>167721399</v>
      </c>
      <c r="C143" s="26">
        <v>43091.711689814823</v>
      </c>
      <c r="D143" s="26">
        <v>43091.712384259263</v>
      </c>
      <c r="E143" t="s" s="27">
        <v>373</v>
      </c>
      <c r="F143" s="28"/>
      <c r="G143" s="28"/>
      <c r="H143" s="28"/>
      <c r="I143" s="28"/>
      <c r="J143" s="28"/>
      <c r="K143" s="28"/>
      <c r="L143" s="25">
        <v>3</v>
      </c>
      <c r="M143" s="28"/>
      <c r="N143" s="28"/>
      <c r="O143" s="28"/>
      <c r="P143" s="25">
        <v>1</v>
      </c>
      <c r="Q143" s="28"/>
      <c r="R143" s="28"/>
      <c r="S143" s="25">
        <v>2</v>
      </c>
      <c r="T143" s="28"/>
      <c r="U143" s="28"/>
      <c r="V143" s="28"/>
      <c r="W143" s="28"/>
      <c r="X143" s="28"/>
      <c r="Y143" s="25">
        <v>2</v>
      </c>
      <c r="Z143" s="28"/>
      <c r="AA143" s="28"/>
      <c r="AB143" s="28"/>
      <c r="AC143" s="28"/>
      <c r="AD143" s="28"/>
      <c r="AE143" s="25">
        <v>2</v>
      </c>
      <c r="AF143" s="28"/>
      <c r="AG143" s="28"/>
      <c r="AH143" s="28"/>
      <c r="AI143" s="28"/>
      <c r="AJ143" s="25">
        <v>1</v>
      </c>
      <c r="AK143" s="28"/>
      <c r="AL143" s="28"/>
      <c r="AM143" s="28"/>
      <c r="AN143" s="28"/>
      <c r="AO143" s="28"/>
      <c r="AP143" s="28"/>
      <c r="AQ143" t="s" s="27">
        <v>374</v>
      </c>
      <c r="AR143" s="28"/>
      <c r="AS143" s="28"/>
      <c r="AT143" s="28"/>
      <c r="AU143" s="28"/>
      <c r="AV143" s="28"/>
      <c r="AW143" s="28"/>
      <c r="AX143" s="28"/>
      <c r="AY143" s="25">
        <v>8</v>
      </c>
      <c r="AZ143" s="28"/>
      <c r="BA143" s="28"/>
      <c r="BB143" s="28"/>
      <c r="BC143" s="25">
        <v>4</v>
      </c>
      <c r="BD143" s="28"/>
      <c r="BE143" s="28"/>
    </row>
    <row r="144" ht="13.55" customHeight="1">
      <c r="A144" s="25">
        <v>6599841639</v>
      </c>
      <c r="B144" s="25">
        <v>167721399</v>
      </c>
      <c r="C144" s="26">
        <v>43091.709803240738</v>
      </c>
      <c r="D144" s="26">
        <v>43091.710821759261</v>
      </c>
      <c r="E144" t="s" s="27">
        <v>375</v>
      </c>
      <c r="F144" s="28"/>
      <c r="G144" s="28"/>
      <c r="H144" s="28"/>
      <c r="I144" s="28"/>
      <c r="J144" s="28"/>
      <c r="K144" s="25">
        <v>2</v>
      </c>
      <c r="L144" s="28"/>
      <c r="M144" s="28"/>
      <c r="N144" s="28"/>
      <c r="O144" s="28"/>
      <c r="P144" s="25">
        <v>1</v>
      </c>
      <c r="Q144" s="28"/>
      <c r="R144" s="28"/>
      <c r="S144" s="25">
        <v>2</v>
      </c>
      <c r="T144" s="28"/>
      <c r="U144" s="28"/>
      <c r="V144" s="28"/>
      <c r="W144" s="28"/>
      <c r="X144" s="28"/>
      <c r="Y144" s="28"/>
      <c r="Z144" s="28"/>
      <c r="AA144" s="25">
        <v>4</v>
      </c>
      <c r="AB144" s="28"/>
      <c r="AC144" s="28"/>
      <c r="AD144" s="28"/>
      <c r="AE144" s="28"/>
      <c r="AF144" s="28"/>
      <c r="AG144" s="25">
        <v>4</v>
      </c>
      <c r="AH144" s="28"/>
      <c r="AI144" s="28"/>
      <c r="AJ144" s="25">
        <v>1</v>
      </c>
      <c r="AK144" s="28"/>
      <c r="AL144" s="28"/>
      <c r="AM144" s="28"/>
      <c r="AN144" s="28"/>
      <c r="AO144" s="25">
        <v>6</v>
      </c>
      <c r="AP144" s="28"/>
      <c r="AQ144" t="s" s="27">
        <v>376</v>
      </c>
      <c r="AR144" s="28"/>
      <c r="AS144" s="25">
        <v>2</v>
      </c>
      <c r="AT144" s="28"/>
      <c r="AU144" s="28"/>
      <c r="AV144" s="28"/>
      <c r="AW144" s="28"/>
      <c r="AX144" s="28"/>
      <c r="AY144" s="28"/>
      <c r="AZ144" s="28"/>
      <c r="BA144" s="28"/>
      <c r="BB144" s="25">
        <v>3</v>
      </c>
      <c r="BC144" s="28"/>
      <c r="BD144" s="28"/>
      <c r="BE144" s="28"/>
    </row>
    <row r="145" ht="13.55" customHeight="1">
      <c r="A145" s="25">
        <v>6599839370</v>
      </c>
      <c r="B145" s="25">
        <v>167721399</v>
      </c>
      <c r="C145" s="26">
        <v>43091.707465277781</v>
      </c>
      <c r="D145" s="26">
        <v>43091.708645833343</v>
      </c>
      <c r="E145" t="s" s="27">
        <v>377</v>
      </c>
      <c r="F145" s="28"/>
      <c r="G145" s="28"/>
      <c r="H145" s="28"/>
      <c r="I145" s="28"/>
      <c r="J145" s="28"/>
      <c r="K145" s="25">
        <v>2</v>
      </c>
      <c r="L145" s="28"/>
      <c r="M145" s="28"/>
      <c r="N145" s="28"/>
      <c r="O145" s="28"/>
      <c r="P145" s="25">
        <v>1</v>
      </c>
      <c r="Q145" s="28"/>
      <c r="R145" s="28"/>
      <c r="S145" s="25">
        <v>2</v>
      </c>
      <c r="T145" s="28"/>
      <c r="U145" s="28"/>
      <c r="V145" s="28"/>
      <c r="W145" s="28"/>
      <c r="X145" s="28"/>
      <c r="Y145" s="28"/>
      <c r="Z145" s="25">
        <v>3</v>
      </c>
      <c r="AA145" s="28"/>
      <c r="AB145" s="28"/>
      <c r="AC145" s="28"/>
      <c r="AD145" s="28"/>
      <c r="AE145" s="25">
        <v>2</v>
      </c>
      <c r="AF145" s="28"/>
      <c r="AG145" s="28"/>
      <c r="AH145" s="28"/>
      <c r="AI145" s="28"/>
      <c r="AJ145" s="25">
        <v>1</v>
      </c>
      <c r="AK145" s="25">
        <v>2</v>
      </c>
      <c r="AL145" s="28"/>
      <c r="AM145" s="28"/>
      <c r="AN145" s="28"/>
      <c r="AO145" s="25">
        <v>6</v>
      </c>
      <c r="AP145" s="28"/>
      <c r="AQ145" t="s" s="27">
        <v>378</v>
      </c>
      <c r="AR145" s="25">
        <v>1</v>
      </c>
      <c r="AS145" s="28"/>
      <c r="AT145" s="28"/>
      <c r="AU145" s="28"/>
      <c r="AV145" s="28"/>
      <c r="AW145" s="28"/>
      <c r="AX145" s="28"/>
      <c r="AY145" s="28"/>
      <c r="AZ145" s="28"/>
      <c r="BA145" s="28"/>
      <c r="BB145" s="25">
        <v>3</v>
      </c>
      <c r="BC145" s="28"/>
      <c r="BD145" s="28"/>
      <c r="BE145" s="28"/>
    </row>
    <row r="146" ht="13.55" customHeight="1">
      <c r="A146" s="29">
        <v>6599836076</v>
      </c>
      <c r="B146" s="29">
        <v>167721399</v>
      </c>
      <c r="C146" s="30">
        <v>43091.703680555547</v>
      </c>
      <c r="D146" s="30">
        <v>43091.705567129633</v>
      </c>
      <c r="E146" t="s" s="31">
        <v>379</v>
      </c>
      <c r="F146" s="32"/>
      <c r="G146" s="32"/>
      <c r="H146" s="32"/>
      <c r="I146" s="32"/>
      <c r="J146" s="32"/>
      <c r="K146" s="29">
        <v>2</v>
      </c>
      <c r="L146" s="32"/>
      <c r="M146" s="32"/>
      <c r="N146" s="32"/>
      <c r="O146" s="32"/>
      <c r="P146" s="29">
        <v>1</v>
      </c>
      <c r="Q146" s="32"/>
      <c r="R146" s="32"/>
      <c r="S146" s="29">
        <v>2</v>
      </c>
      <c r="T146" s="32"/>
      <c r="U146" s="32"/>
      <c r="V146" s="32"/>
      <c r="W146" s="32"/>
      <c r="X146" s="32"/>
      <c r="Y146" s="32"/>
      <c r="Z146" s="32"/>
      <c r="AA146" s="29">
        <v>4</v>
      </c>
      <c r="AB146" s="32"/>
      <c r="AC146" s="32"/>
      <c r="AD146" s="32"/>
      <c r="AE146" s="32"/>
      <c r="AF146" s="29">
        <v>3</v>
      </c>
      <c r="AG146" s="32"/>
      <c r="AH146" s="32"/>
      <c r="AI146" s="32"/>
      <c r="AJ146" s="29">
        <v>1</v>
      </c>
      <c r="AK146" s="32"/>
      <c r="AL146" s="32"/>
      <c r="AM146" s="32"/>
      <c r="AN146" s="32"/>
      <c r="AO146" s="32"/>
      <c r="AP146" s="32"/>
      <c r="AQ146" t="s" s="31">
        <v>380</v>
      </c>
      <c r="AR146" s="32"/>
      <c r="AS146" s="32"/>
      <c r="AT146" s="29">
        <v>3</v>
      </c>
      <c r="AU146" s="32"/>
      <c r="AV146" s="32"/>
      <c r="AW146" s="32"/>
      <c r="AX146" s="32"/>
      <c r="AY146" s="32"/>
      <c r="AZ146" s="32"/>
      <c r="BA146" s="32"/>
      <c r="BB146" s="29">
        <v>3</v>
      </c>
      <c r="BC146" s="32"/>
      <c r="BD146" s="32"/>
      <c r="BE146" s="32"/>
    </row>
    <row r="147" ht="15" customHeight="1">
      <c r="A147" s="15">
        <v>6599832583</v>
      </c>
      <c r="B147" s="16">
        <v>167721399</v>
      </c>
      <c r="C147" s="17">
        <v>43091.701724537037</v>
      </c>
      <c r="D147" s="17">
        <v>43091.702372685177</v>
      </c>
      <c r="E147" t="s" s="18">
        <v>381</v>
      </c>
      <c r="F147" s="19"/>
      <c r="G147" s="19"/>
      <c r="H147" s="19"/>
      <c r="I147" s="19"/>
      <c r="J147" s="19"/>
      <c r="K147" s="19"/>
      <c r="L147" s="16">
        <v>3</v>
      </c>
      <c r="M147" s="19"/>
      <c r="N147" s="19"/>
      <c r="O147" s="19"/>
      <c r="P147" s="16">
        <v>1</v>
      </c>
      <c r="Q147" s="19"/>
      <c r="R147" s="19"/>
      <c r="S147" s="19"/>
      <c r="T147" s="16">
        <v>3</v>
      </c>
      <c r="U147" s="19"/>
      <c r="V147" s="19"/>
      <c r="W147" s="19"/>
      <c r="X147" s="19"/>
      <c r="Y147" s="16">
        <v>2</v>
      </c>
      <c r="Z147" s="19"/>
      <c r="AA147" s="19"/>
      <c r="AB147" s="19"/>
      <c r="AC147" s="19"/>
      <c r="AD147" s="16">
        <v>1</v>
      </c>
      <c r="AE147" s="19"/>
      <c r="AF147" s="19"/>
      <c r="AG147" s="19"/>
      <c r="AH147" s="19"/>
      <c r="AI147" s="19"/>
      <c r="AJ147" s="19"/>
      <c r="AK147" s="16">
        <v>2</v>
      </c>
      <c r="AL147" s="19"/>
      <c r="AM147" s="19"/>
      <c r="AN147" s="19"/>
      <c r="AO147" s="16">
        <v>6</v>
      </c>
      <c r="AP147" s="19"/>
      <c r="AQ147" t="s" s="18">
        <v>382</v>
      </c>
      <c r="AR147" s="19"/>
      <c r="AS147" s="19"/>
      <c r="AT147" s="19"/>
      <c r="AU147" s="19"/>
      <c r="AV147" s="19"/>
      <c r="AW147" s="19"/>
      <c r="AX147" s="19"/>
      <c r="AY147" s="16">
        <v>8</v>
      </c>
      <c r="AZ147" s="16">
        <v>1</v>
      </c>
      <c r="BA147" s="19"/>
      <c r="BB147" s="19"/>
      <c r="BC147" s="19"/>
      <c r="BD147" s="19"/>
      <c r="BE147" t="s" s="20">
        <v>383</v>
      </c>
    </row>
    <row r="148" ht="13.55" customHeight="1">
      <c r="A148" s="21">
        <v>6599818594</v>
      </c>
      <c r="B148" s="21">
        <v>167721399</v>
      </c>
      <c r="C148" s="22">
        <v>43091.687893518523</v>
      </c>
      <c r="D148" s="22">
        <v>43091.688831018517</v>
      </c>
      <c r="E148" t="s" s="23">
        <v>384</v>
      </c>
      <c r="F148" s="24"/>
      <c r="G148" s="24"/>
      <c r="H148" s="24"/>
      <c r="I148" s="24"/>
      <c r="J148" s="24"/>
      <c r="K148" s="24"/>
      <c r="L148" s="21">
        <v>3</v>
      </c>
      <c r="M148" s="24"/>
      <c r="N148" s="24"/>
      <c r="O148" s="24"/>
      <c r="P148" s="24"/>
      <c r="Q148" s="21">
        <v>2</v>
      </c>
      <c r="R148" s="24"/>
      <c r="S148" s="24"/>
      <c r="T148" s="21">
        <v>3</v>
      </c>
      <c r="U148" s="24"/>
      <c r="V148" s="24"/>
      <c r="W148" s="24"/>
      <c r="X148" s="24"/>
      <c r="Y148" s="21">
        <v>2</v>
      </c>
      <c r="Z148" s="24"/>
      <c r="AA148" s="24"/>
      <c r="AB148" s="24"/>
      <c r="AC148" s="24"/>
      <c r="AD148" s="24"/>
      <c r="AE148" s="21">
        <v>2</v>
      </c>
      <c r="AF148" s="24"/>
      <c r="AG148" s="24"/>
      <c r="AH148" s="24"/>
      <c r="AI148" s="24"/>
      <c r="AJ148" s="21">
        <v>1</v>
      </c>
      <c r="AK148" s="24"/>
      <c r="AL148" s="24"/>
      <c r="AM148" s="24"/>
      <c r="AN148" s="24"/>
      <c r="AO148" s="24"/>
      <c r="AP148" s="24"/>
      <c r="AQ148" t="s" s="23">
        <v>385</v>
      </c>
      <c r="AR148" s="24"/>
      <c r="AS148" s="24"/>
      <c r="AT148" s="24"/>
      <c r="AU148" s="24"/>
      <c r="AV148" s="24"/>
      <c r="AW148" s="24"/>
      <c r="AX148" s="24"/>
      <c r="AY148" s="21">
        <v>8</v>
      </c>
      <c r="AZ148" s="24"/>
      <c r="BA148" s="24"/>
      <c r="BB148" s="21">
        <v>3</v>
      </c>
      <c r="BC148" s="24"/>
      <c r="BD148" s="24"/>
      <c r="BE148" s="24"/>
    </row>
    <row r="149" ht="13.55" customHeight="1">
      <c r="A149" s="25">
        <v>6599816043</v>
      </c>
      <c r="B149" s="25">
        <v>167721399</v>
      </c>
      <c r="C149" s="26">
        <v>43091.682256944441</v>
      </c>
      <c r="D149" s="26">
        <v>43091.686226851853</v>
      </c>
      <c r="E149" t="s" s="27">
        <v>386</v>
      </c>
      <c r="F149" s="28"/>
      <c r="G149" s="28"/>
      <c r="H149" s="28"/>
      <c r="I149" s="28"/>
      <c r="J149" s="28"/>
      <c r="K149" s="28"/>
      <c r="L149" s="25">
        <v>3</v>
      </c>
      <c r="M149" s="28"/>
      <c r="N149" s="28"/>
      <c r="O149" s="28"/>
      <c r="P149" s="25">
        <v>1</v>
      </c>
      <c r="Q149" s="28"/>
      <c r="R149" s="28"/>
      <c r="S149" s="28"/>
      <c r="T149" s="28"/>
      <c r="U149" s="25">
        <v>4</v>
      </c>
      <c r="V149" s="28"/>
      <c r="W149" s="28"/>
      <c r="X149" s="28"/>
      <c r="Y149" s="25">
        <v>2</v>
      </c>
      <c r="Z149" s="28"/>
      <c r="AA149" s="28"/>
      <c r="AB149" s="28"/>
      <c r="AC149" s="28"/>
      <c r="AD149" s="28"/>
      <c r="AE149" s="25">
        <v>2</v>
      </c>
      <c r="AF149" s="28"/>
      <c r="AG149" s="28"/>
      <c r="AH149" s="28"/>
      <c r="AI149" s="28"/>
      <c r="AJ149" s="25">
        <v>1</v>
      </c>
      <c r="AK149" s="28"/>
      <c r="AL149" s="28"/>
      <c r="AM149" s="28"/>
      <c r="AN149" s="28"/>
      <c r="AO149" s="28"/>
      <c r="AP149" s="28"/>
      <c r="AQ149" t="s" s="27">
        <v>387</v>
      </c>
      <c r="AR149" s="28"/>
      <c r="AS149" s="28"/>
      <c r="AT149" s="25">
        <v>3</v>
      </c>
      <c r="AU149" s="28"/>
      <c r="AV149" s="28"/>
      <c r="AW149" s="28"/>
      <c r="AX149" s="28"/>
      <c r="AY149" s="28"/>
      <c r="AZ149" s="28"/>
      <c r="BA149" s="28"/>
      <c r="BB149" s="25">
        <v>3</v>
      </c>
      <c r="BC149" s="28"/>
      <c r="BD149" s="28"/>
      <c r="BE149" s="28"/>
    </row>
    <row r="150" ht="13.55" customHeight="1">
      <c r="A150" s="25">
        <v>6599811955</v>
      </c>
      <c r="B150" s="25">
        <v>167721399</v>
      </c>
      <c r="C150" s="26">
        <v>43091.681261574071</v>
      </c>
      <c r="D150" s="26">
        <v>43091.682210648149</v>
      </c>
      <c r="E150" t="s" s="27">
        <v>388</v>
      </c>
      <c r="F150" s="28"/>
      <c r="G150" s="28"/>
      <c r="H150" s="28"/>
      <c r="I150" s="28"/>
      <c r="J150" s="28"/>
      <c r="K150" s="28"/>
      <c r="L150" s="25">
        <v>3</v>
      </c>
      <c r="M150" s="28"/>
      <c r="N150" s="28"/>
      <c r="O150" s="28"/>
      <c r="P150" s="28"/>
      <c r="Q150" s="25">
        <v>2</v>
      </c>
      <c r="R150" s="28"/>
      <c r="S150" s="28"/>
      <c r="T150" s="28"/>
      <c r="U150" s="25">
        <v>4</v>
      </c>
      <c r="V150" s="28"/>
      <c r="W150" s="28"/>
      <c r="X150" s="28"/>
      <c r="Y150" s="25">
        <v>2</v>
      </c>
      <c r="Z150" s="28"/>
      <c r="AA150" s="28"/>
      <c r="AB150" s="28"/>
      <c r="AC150" s="28"/>
      <c r="AD150" s="28"/>
      <c r="AE150" s="25">
        <v>2</v>
      </c>
      <c r="AF150" s="28"/>
      <c r="AG150" s="28"/>
      <c r="AH150" s="28"/>
      <c r="AI150" s="28"/>
      <c r="AJ150" s="28"/>
      <c r="AK150" s="28"/>
      <c r="AL150" s="28"/>
      <c r="AM150" s="28"/>
      <c r="AN150" s="28"/>
      <c r="AO150" s="25">
        <v>6</v>
      </c>
      <c r="AP150" s="28"/>
      <c r="AQ150" t="s" s="27">
        <v>389</v>
      </c>
      <c r="AR150" s="28"/>
      <c r="AS150" s="28"/>
      <c r="AT150" s="25">
        <v>3</v>
      </c>
      <c r="AU150" s="28"/>
      <c r="AV150" s="28"/>
      <c r="AW150" s="28"/>
      <c r="AX150" s="28"/>
      <c r="AY150" s="28"/>
      <c r="AZ150" s="28"/>
      <c r="BA150" s="28"/>
      <c r="BB150" s="25">
        <v>3</v>
      </c>
      <c r="BC150" s="28"/>
      <c r="BD150" s="28"/>
      <c r="BE150" s="28"/>
    </row>
    <row r="151" ht="13.55" customHeight="1">
      <c r="A151" s="25">
        <v>6599808352</v>
      </c>
      <c r="B151" s="25">
        <v>167721399</v>
      </c>
      <c r="C151" s="26">
        <v>43091.675127314818</v>
      </c>
      <c r="D151" s="26">
        <v>43091.678715277783</v>
      </c>
      <c r="E151" t="s" s="27">
        <v>390</v>
      </c>
      <c r="F151" s="28"/>
      <c r="G151" s="28"/>
      <c r="H151" s="28"/>
      <c r="I151" s="28"/>
      <c r="J151" s="28"/>
      <c r="K151" s="25">
        <v>2</v>
      </c>
      <c r="L151" s="28"/>
      <c r="M151" s="28"/>
      <c r="N151" s="28"/>
      <c r="O151" s="28"/>
      <c r="P151" s="25">
        <v>1</v>
      </c>
      <c r="Q151" s="28"/>
      <c r="R151" s="28"/>
      <c r="S151" s="25">
        <v>2</v>
      </c>
      <c r="T151" s="28"/>
      <c r="U151" s="28"/>
      <c r="V151" s="28"/>
      <c r="W151" s="28"/>
      <c r="X151" s="28"/>
      <c r="Y151" s="28"/>
      <c r="Z151" s="25">
        <v>3</v>
      </c>
      <c r="AA151" s="28"/>
      <c r="AB151" s="28"/>
      <c r="AC151" s="28"/>
      <c r="AD151" s="28"/>
      <c r="AE151" s="25">
        <v>2</v>
      </c>
      <c r="AF151" s="28"/>
      <c r="AG151" s="28"/>
      <c r="AH151" s="28"/>
      <c r="AI151" s="28"/>
      <c r="AJ151" s="25">
        <v>1</v>
      </c>
      <c r="AK151" s="25">
        <v>2</v>
      </c>
      <c r="AL151" s="28"/>
      <c r="AM151" s="25">
        <v>4</v>
      </c>
      <c r="AN151" s="28"/>
      <c r="AO151" s="25">
        <v>6</v>
      </c>
      <c r="AP151" s="28"/>
      <c r="AQ151" t="s" s="27">
        <v>391</v>
      </c>
      <c r="AR151" s="28"/>
      <c r="AS151" s="28"/>
      <c r="AT151" s="25">
        <v>3</v>
      </c>
      <c r="AU151" s="28"/>
      <c r="AV151" s="28"/>
      <c r="AW151" s="28"/>
      <c r="AX151" s="28"/>
      <c r="AY151" s="28"/>
      <c r="AZ151" s="28"/>
      <c r="BA151" s="28"/>
      <c r="BB151" s="28"/>
      <c r="BC151" s="25">
        <v>4</v>
      </c>
      <c r="BD151" s="28"/>
      <c r="BE151" t="s" s="27">
        <v>392</v>
      </c>
    </row>
    <row r="152" ht="13.55" customHeight="1">
      <c r="A152" s="25">
        <v>6599799071</v>
      </c>
      <c r="B152" s="25">
        <v>167721399</v>
      </c>
      <c r="C152" s="26">
        <v>43091.669155092590</v>
      </c>
      <c r="D152" s="26">
        <v>43091.670289351852</v>
      </c>
      <c r="E152" t="s" s="27">
        <v>393</v>
      </c>
      <c r="F152" s="28"/>
      <c r="G152" s="28"/>
      <c r="H152" s="28"/>
      <c r="I152" s="28"/>
      <c r="J152" s="28"/>
      <c r="K152" s="28"/>
      <c r="L152" s="25">
        <v>3</v>
      </c>
      <c r="M152" s="28"/>
      <c r="N152" s="28"/>
      <c r="O152" s="28"/>
      <c r="P152" s="25">
        <v>1</v>
      </c>
      <c r="Q152" s="28"/>
      <c r="R152" s="28"/>
      <c r="S152" s="25">
        <v>2</v>
      </c>
      <c r="T152" s="28"/>
      <c r="U152" s="28"/>
      <c r="V152" s="28"/>
      <c r="W152" s="28"/>
      <c r="X152" s="28"/>
      <c r="Y152" s="25">
        <v>2</v>
      </c>
      <c r="Z152" s="28"/>
      <c r="AA152" s="28"/>
      <c r="AB152" s="28"/>
      <c r="AC152" s="28"/>
      <c r="AD152" s="28"/>
      <c r="AE152" s="25">
        <v>2</v>
      </c>
      <c r="AF152" s="28"/>
      <c r="AG152" s="28"/>
      <c r="AH152" s="28"/>
      <c r="AI152" s="28"/>
      <c r="AJ152" s="25">
        <v>1</v>
      </c>
      <c r="AK152" s="28"/>
      <c r="AL152" s="28"/>
      <c r="AM152" s="28"/>
      <c r="AN152" s="28"/>
      <c r="AO152" s="28"/>
      <c r="AP152" s="28"/>
      <c r="AQ152" t="s" s="27">
        <v>394</v>
      </c>
      <c r="AR152" s="28"/>
      <c r="AS152" s="28"/>
      <c r="AT152" s="28"/>
      <c r="AU152" s="28"/>
      <c r="AV152" s="28"/>
      <c r="AW152" s="28"/>
      <c r="AX152" s="28"/>
      <c r="AY152" s="25">
        <v>8</v>
      </c>
      <c r="AZ152" s="28"/>
      <c r="BA152" s="28"/>
      <c r="BB152" s="25">
        <v>3</v>
      </c>
      <c r="BC152" s="28"/>
      <c r="BD152" s="28"/>
      <c r="BE152" s="28"/>
    </row>
    <row r="153" ht="13.55" customHeight="1">
      <c r="A153" s="25">
        <v>6599798128</v>
      </c>
      <c r="B153" s="25">
        <v>167721399</v>
      </c>
      <c r="C153" s="26">
        <v>43091.657280092593</v>
      </c>
      <c r="D153" s="26">
        <v>43091.669444444437</v>
      </c>
      <c r="E153" t="s" s="27">
        <v>395</v>
      </c>
      <c r="F153" s="28"/>
      <c r="G153" s="28"/>
      <c r="H153" s="28"/>
      <c r="I153" s="28"/>
      <c r="J153" s="28"/>
      <c r="K153" s="28"/>
      <c r="L153" s="25">
        <v>3</v>
      </c>
      <c r="M153" s="28"/>
      <c r="N153" s="28"/>
      <c r="O153" s="28"/>
      <c r="P153" s="25">
        <v>1</v>
      </c>
      <c r="Q153" s="28"/>
      <c r="R153" s="28"/>
      <c r="S153" s="28"/>
      <c r="T153" s="25">
        <v>3</v>
      </c>
      <c r="U153" s="28"/>
      <c r="V153" s="28"/>
      <c r="W153" s="28"/>
      <c r="X153" s="28"/>
      <c r="Y153" s="25">
        <v>2</v>
      </c>
      <c r="Z153" s="28"/>
      <c r="AA153" s="28"/>
      <c r="AB153" s="28"/>
      <c r="AC153" s="28"/>
      <c r="AD153" s="25">
        <v>1</v>
      </c>
      <c r="AE153" s="28"/>
      <c r="AF153" s="28"/>
      <c r="AG153" s="28"/>
      <c r="AH153" s="28"/>
      <c r="AI153" s="28"/>
      <c r="AJ153" s="25">
        <v>1</v>
      </c>
      <c r="AK153" s="28"/>
      <c r="AL153" s="28"/>
      <c r="AM153" s="28"/>
      <c r="AN153" s="28"/>
      <c r="AO153" s="28"/>
      <c r="AP153" s="28"/>
      <c r="AQ153" t="s" s="27">
        <v>396</v>
      </c>
      <c r="AR153" s="28"/>
      <c r="AS153" s="28"/>
      <c r="AT153" s="25">
        <v>3</v>
      </c>
      <c r="AU153" s="28"/>
      <c r="AV153" s="28"/>
      <c r="AW153" s="28"/>
      <c r="AX153" s="28"/>
      <c r="AY153" s="28"/>
      <c r="AZ153" s="28"/>
      <c r="BA153" s="28"/>
      <c r="BB153" s="25">
        <v>3</v>
      </c>
      <c r="BC153" s="28"/>
      <c r="BD153" s="28"/>
      <c r="BE153" s="28"/>
    </row>
    <row r="154" ht="13.55" customHeight="1">
      <c r="A154" s="25">
        <v>6599795297</v>
      </c>
      <c r="B154" s="25">
        <v>167721399</v>
      </c>
      <c r="C154" s="26">
        <v>43091.665358796286</v>
      </c>
      <c r="D154" s="26">
        <v>43091.666863425933</v>
      </c>
      <c r="E154" t="s" s="27">
        <v>397</v>
      </c>
      <c r="F154" s="28"/>
      <c r="G154" s="28"/>
      <c r="H154" s="28"/>
      <c r="I154" s="28"/>
      <c r="J154" s="28"/>
      <c r="K154" s="28"/>
      <c r="L154" s="25">
        <v>3</v>
      </c>
      <c r="M154" s="28"/>
      <c r="N154" s="28"/>
      <c r="O154" s="28"/>
      <c r="P154" s="28"/>
      <c r="Q154" s="25">
        <v>2</v>
      </c>
      <c r="R154" s="28"/>
      <c r="S154" s="28"/>
      <c r="T154" s="28"/>
      <c r="U154" s="25">
        <v>4</v>
      </c>
      <c r="V154" s="28"/>
      <c r="W154" s="28"/>
      <c r="X154" s="28"/>
      <c r="Y154" s="25">
        <v>2</v>
      </c>
      <c r="Z154" s="28"/>
      <c r="AA154" s="28"/>
      <c r="AB154" s="28"/>
      <c r="AC154" s="28"/>
      <c r="AD154" s="28"/>
      <c r="AE154" s="25">
        <v>2</v>
      </c>
      <c r="AF154" s="28"/>
      <c r="AG154" s="28"/>
      <c r="AH154" s="28"/>
      <c r="AI154" s="28"/>
      <c r="AJ154" s="25">
        <v>1</v>
      </c>
      <c r="AK154" s="28"/>
      <c r="AL154" s="25">
        <v>3</v>
      </c>
      <c r="AM154" s="25">
        <v>4</v>
      </c>
      <c r="AN154" s="25">
        <v>5</v>
      </c>
      <c r="AO154" s="25">
        <v>6</v>
      </c>
      <c r="AP154" s="28"/>
      <c r="AQ154" t="s" s="27">
        <v>398</v>
      </c>
      <c r="AR154" s="28"/>
      <c r="AS154" s="28"/>
      <c r="AT154" s="28"/>
      <c r="AU154" s="28"/>
      <c r="AV154" s="28"/>
      <c r="AW154" s="28"/>
      <c r="AX154" s="28"/>
      <c r="AY154" s="25">
        <v>8</v>
      </c>
      <c r="AZ154" s="32"/>
      <c r="BA154" s="28"/>
      <c r="BB154" s="28"/>
      <c r="BC154" s="25">
        <v>4</v>
      </c>
      <c r="BD154" s="28"/>
      <c r="BE154" s="28"/>
    </row>
    <row r="155" ht="15" customHeight="1">
      <c r="A155" s="29">
        <v>6599790692</v>
      </c>
      <c r="B155" s="29">
        <v>167721399</v>
      </c>
      <c r="C155" s="29">
        <v>43091.6596527778</v>
      </c>
      <c r="D155" s="29">
        <v>43091.6625694444</v>
      </c>
      <c r="E155" t="s" s="31">
        <v>399</v>
      </c>
      <c r="F155" s="32"/>
      <c r="G155" s="32"/>
      <c r="H155" s="32"/>
      <c r="I155" s="32"/>
      <c r="J155" s="32"/>
      <c r="K155" s="32"/>
      <c r="L155" s="29">
        <v>3</v>
      </c>
      <c r="M155" s="32"/>
      <c r="N155" s="32"/>
      <c r="O155" s="32"/>
      <c r="P155" s="32"/>
      <c r="Q155" s="29">
        <v>2</v>
      </c>
      <c r="R155" s="32"/>
      <c r="S155" s="32"/>
      <c r="T155" s="29">
        <v>3</v>
      </c>
      <c r="U155" s="32"/>
      <c r="V155" s="32"/>
      <c r="W155" s="32"/>
      <c r="X155" s="32"/>
      <c r="Y155" s="29">
        <v>2</v>
      </c>
      <c r="Z155" s="32"/>
      <c r="AA155" s="32"/>
      <c r="AB155" s="32"/>
      <c r="AC155" s="32"/>
      <c r="AD155" s="32"/>
      <c r="AE155" s="29">
        <v>2</v>
      </c>
      <c r="AF155" s="32"/>
      <c r="AG155" s="32"/>
      <c r="AH155" s="32"/>
      <c r="AI155" s="32"/>
      <c r="AJ155" s="29">
        <v>1</v>
      </c>
      <c r="AK155" s="29">
        <v>2</v>
      </c>
      <c r="AL155" s="32"/>
      <c r="AM155" s="32"/>
      <c r="AN155" s="32"/>
      <c r="AO155" s="32"/>
      <c r="AP155" s="29">
        <v>7</v>
      </c>
      <c r="AQ155" t="s" s="31">
        <v>400</v>
      </c>
      <c r="AR155" s="32"/>
      <c r="AS155" s="32"/>
      <c r="AT155" s="32"/>
      <c r="AU155" s="32"/>
      <c r="AV155" s="32"/>
      <c r="AW155" s="32"/>
      <c r="AX155" s="32"/>
      <c r="AY155" s="41">
        <v>8</v>
      </c>
      <c r="AZ155" s="36"/>
      <c r="BA155" s="42"/>
      <c r="BB155" s="29">
        <v>3</v>
      </c>
      <c r="BC155" s="32"/>
      <c r="BD155" s="32"/>
      <c r="BE155" t="s" s="31">
        <v>401</v>
      </c>
    </row>
    <row r="156" ht="15" customHeight="1">
      <c r="A156" s="15">
        <v>6599787735</v>
      </c>
      <c r="B156" s="16">
        <v>167721399</v>
      </c>
      <c r="C156" s="17">
        <v>43091.65875</v>
      </c>
      <c r="D156" s="17">
        <v>43091.659895833327</v>
      </c>
      <c r="E156" t="s" s="18">
        <v>402</v>
      </c>
      <c r="F156" s="19"/>
      <c r="G156" s="19"/>
      <c r="H156" s="19"/>
      <c r="I156" s="19"/>
      <c r="J156" s="19"/>
      <c r="K156" s="16">
        <v>2</v>
      </c>
      <c r="L156" s="19"/>
      <c r="M156" s="19"/>
      <c r="N156" s="19"/>
      <c r="O156" s="19"/>
      <c r="P156" s="16">
        <v>1</v>
      </c>
      <c r="Q156" s="19"/>
      <c r="R156" s="19"/>
      <c r="S156" s="16">
        <v>2</v>
      </c>
      <c r="T156" s="19"/>
      <c r="U156" s="19"/>
      <c r="V156" s="19"/>
      <c r="W156" s="19"/>
      <c r="X156" s="19"/>
      <c r="Y156" s="19"/>
      <c r="Z156" s="19"/>
      <c r="AA156" s="16">
        <v>4</v>
      </c>
      <c r="AB156" s="19"/>
      <c r="AC156" s="19"/>
      <c r="AD156" s="19"/>
      <c r="AE156" s="19"/>
      <c r="AF156" s="16">
        <v>3</v>
      </c>
      <c r="AG156" s="19"/>
      <c r="AH156" s="19"/>
      <c r="AI156" s="19"/>
      <c r="AJ156" s="16">
        <v>1</v>
      </c>
      <c r="AK156" s="16">
        <v>2</v>
      </c>
      <c r="AL156" s="19"/>
      <c r="AM156" s="19"/>
      <c r="AN156" s="19"/>
      <c r="AO156" s="19"/>
      <c r="AP156" s="19"/>
      <c r="AQ156" t="s" s="18">
        <v>403</v>
      </c>
      <c r="AR156" s="19"/>
      <c r="AS156" s="19"/>
      <c r="AT156" s="19"/>
      <c r="AU156" s="16">
        <v>4</v>
      </c>
      <c r="AV156" s="19"/>
      <c r="AW156" s="19"/>
      <c r="AX156" s="19"/>
      <c r="AY156" s="19"/>
      <c r="AZ156" s="16">
        <v>1</v>
      </c>
      <c r="BA156" s="19"/>
      <c r="BB156" s="19"/>
      <c r="BC156" s="19"/>
      <c r="BD156" s="19"/>
      <c r="BE156" t="s" s="20">
        <v>404</v>
      </c>
    </row>
    <row r="157" ht="13.55" customHeight="1">
      <c r="A157" s="21">
        <v>6599784727</v>
      </c>
      <c r="B157" s="21">
        <v>167721399</v>
      </c>
      <c r="C157" s="22">
        <v>43091.655335648153</v>
      </c>
      <c r="D157" s="22">
        <v>43091.657083333332</v>
      </c>
      <c r="E157" t="s" s="23">
        <v>405</v>
      </c>
      <c r="F157" s="24"/>
      <c r="G157" s="24"/>
      <c r="H157" s="24"/>
      <c r="I157" s="24"/>
      <c r="J157" s="24"/>
      <c r="K157" s="24"/>
      <c r="L157" s="21">
        <v>3</v>
      </c>
      <c r="M157" s="24"/>
      <c r="N157" s="24"/>
      <c r="O157" s="24"/>
      <c r="P157" s="21">
        <v>1</v>
      </c>
      <c r="Q157" s="24"/>
      <c r="R157" s="24"/>
      <c r="S157" s="24"/>
      <c r="T157" s="24"/>
      <c r="U157" s="24"/>
      <c r="V157" s="21">
        <v>5</v>
      </c>
      <c r="W157" s="24"/>
      <c r="X157" s="24"/>
      <c r="Y157" s="24"/>
      <c r="Z157" s="24"/>
      <c r="AA157" s="21">
        <v>4</v>
      </c>
      <c r="AB157" s="24"/>
      <c r="AC157" s="24"/>
      <c r="AD157" s="24"/>
      <c r="AE157" s="24"/>
      <c r="AF157" s="24"/>
      <c r="AG157" s="21">
        <v>4</v>
      </c>
      <c r="AH157" s="24"/>
      <c r="AI157" s="24"/>
      <c r="AJ157" s="21">
        <v>1</v>
      </c>
      <c r="AK157" s="21">
        <v>2</v>
      </c>
      <c r="AL157" s="24"/>
      <c r="AM157" s="24"/>
      <c r="AN157" s="24"/>
      <c r="AO157" s="21">
        <v>6</v>
      </c>
      <c r="AP157" s="24"/>
      <c r="AQ157" t="s" s="23">
        <v>406</v>
      </c>
      <c r="AR157" s="24"/>
      <c r="AS157" s="24"/>
      <c r="AT157" s="21">
        <v>3</v>
      </c>
      <c r="AU157" s="24"/>
      <c r="AV157" s="24"/>
      <c r="AW157" s="24"/>
      <c r="AX157" s="24"/>
      <c r="AY157" s="24"/>
      <c r="AZ157" s="24"/>
      <c r="BA157" s="24"/>
      <c r="BB157" s="21">
        <v>3</v>
      </c>
      <c r="BC157" s="24"/>
      <c r="BD157" s="24"/>
      <c r="BE157" s="24"/>
    </row>
    <row r="158" ht="13.55" customHeight="1">
      <c r="A158" s="25">
        <v>6599784482</v>
      </c>
      <c r="B158" s="25">
        <v>167721399</v>
      </c>
      <c r="C158" s="26">
        <v>43091.655949074076</v>
      </c>
      <c r="D158" s="26">
        <v>43091.656863425917</v>
      </c>
      <c r="E158" t="s" s="27">
        <v>407</v>
      </c>
      <c r="F158" s="28"/>
      <c r="G158" s="28"/>
      <c r="H158" s="28"/>
      <c r="I158" s="28"/>
      <c r="J158" s="28"/>
      <c r="K158" s="25">
        <v>2</v>
      </c>
      <c r="L158" s="28"/>
      <c r="M158" s="28"/>
      <c r="N158" s="28"/>
      <c r="O158" s="28"/>
      <c r="P158" s="25">
        <v>1</v>
      </c>
      <c r="Q158" s="28"/>
      <c r="R158" s="25">
        <v>1</v>
      </c>
      <c r="S158" s="28"/>
      <c r="T158" s="28"/>
      <c r="U158" s="28"/>
      <c r="V158" s="28"/>
      <c r="W158" s="28"/>
      <c r="X158" s="28"/>
      <c r="Y158" s="25">
        <v>2</v>
      </c>
      <c r="Z158" s="28"/>
      <c r="AA158" s="28"/>
      <c r="AB158" s="28"/>
      <c r="AC158" s="28"/>
      <c r="AD158" s="25">
        <v>1</v>
      </c>
      <c r="AE158" s="28"/>
      <c r="AF158" s="28"/>
      <c r="AG158" s="28"/>
      <c r="AH158" s="28"/>
      <c r="AI158" s="28"/>
      <c r="AJ158" s="25">
        <v>1</v>
      </c>
      <c r="AK158" s="28"/>
      <c r="AL158" s="28"/>
      <c r="AM158" s="28"/>
      <c r="AN158" s="28"/>
      <c r="AO158" s="28"/>
      <c r="AP158" s="25">
        <v>7</v>
      </c>
      <c r="AQ158" t="s" s="27">
        <v>408</v>
      </c>
      <c r="AR158" s="25">
        <v>1</v>
      </c>
      <c r="AS158" s="28"/>
      <c r="AT158" s="28"/>
      <c r="AU158" s="28"/>
      <c r="AV158" s="28"/>
      <c r="AW158" s="28"/>
      <c r="AX158" s="28"/>
      <c r="AY158" s="28"/>
      <c r="AZ158" s="28"/>
      <c r="BA158" s="28"/>
      <c r="BB158" s="25">
        <v>3</v>
      </c>
      <c r="BC158" s="28"/>
      <c r="BD158" s="28"/>
      <c r="BE158" s="28"/>
    </row>
    <row r="159" ht="13.55" customHeight="1">
      <c r="A159" s="25">
        <v>6599779873</v>
      </c>
      <c r="B159" s="25">
        <v>167721399</v>
      </c>
      <c r="C159" s="26">
        <v>43091.651087962957</v>
      </c>
      <c r="D159" s="26">
        <v>43091.652650462973</v>
      </c>
      <c r="E159" t="s" s="27">
        <v>409</v>
      </c>
      <c r="F159" s="28"/>
      <c r="G159" s="28"/>
      <c r="H159" s="28"/>
      <c r="I159" s="28"/>
      <c r="J159" s="28"/>
      <c r="K159" s="25">
        <v>2</v>
      </c>
      <c r="L159" s="28"/>
      <c r="M159" s="28"/>
      <c r="N159" s="28"/>
      <c r="O159" s="28"/>
      <c r="P159" s="25">
        <v>1</v>
      </c>
      <c r="Q159" s="28"/>
      <c r="R159" s="28"/>
      <c r="S159" s="28"/>
      <c r="T159" s="28"/>
      <c r="U159" s="25">
        <v>4</v>
      </c>
      <c r="V159" s="28"/>
      <c r="W159" s="28"/>
      <c r="X159" s="28"/>
      <c r="Y159" s="28"/>
      <c r="Z159" s="28"/>
      <c r="AA159" s="28"/>
      <c r="AB159" s="25">
        <v>5</v>
      </c>
      <c r="AC159" s="28"/>
      <c r="AD159" s="28"/>
      <c r="AE159" s="28"/>
      <c r="AF159" s="28"/>
      <c r="AG159" s="25">
        <v>4</v>
      </c>
      <c r="AH159" s="28"/>
      <c r="AI159" s="28"/>
      <c r="AJ159" s="25">
        <v>1</v>
      </c>
      <c r="AK159" s="25">
        <v>2</v>
      </c>
      <c r="AL159" s="28"/>
      <c r="AM159" s="28"/>
      <c r="AN159" s="25">
        <v>5</v>
      </c>
      <c r="AO159" s="25">
        <v>6</v>
      </c>
      <c r="AP159" s="28"/>
      <c r="AQ159" t="s" s="27">
        <v>410</v>
      </c>
      <c r="AR159" s="28"/>
      <c r="AS159" s="28"/>
      <c r="AT159" s="28"/>
      <c r="AU159" s="25">
        <v>4</v>
      </c>
      <c r="AV159" s="28"/>
      <c r="AW159" s="28"/>
      <c r="AX159" s="28"/>
      <c r="AY159" s="28"/>
      <c r="AZ159" s="28"/>
      <c r="BA159" s="28"/>
      <c r="BB159" s="25">
        <v>3</v>
      </c>
      <c r="BC159" s="28"/>
      <c r="BD159" s="28"/>
      <c r="BE159" s="28"/>
    </row>
    <row r="160" ht="13.55" customHeight="1">
      <c r="A160" s="25">
        <v>6599771635</v>
      </c>
      <c r="B160" s="25">
        <v>167721399</v>
      </c>
      <c r="C160" s="26">
        <v>43091.644293981481</v>
      </c>
      <c r="D160" s="26">
        <v>43091.6453587963</v>
      </c>
      <c r="E160" t="s" s="27">
        <v>411</v>
      </c>
      <c r="F160" s="28"/>
      <c r="G160" s="28"/>
      <c r="H160" s="28"/>
      <c r="I160" s="28"/>
      <c r="J160" s="28"/>
      <c r="K160" s="28"/>
      <c r="L160" s="25">
        <v>3</v>
      </c>
      <c r="M160" s="28"/>
      <c r="N160" s="28"/>
      <c r="O160" s="28"/>
      <c r="P160" s="25">
        <v>1</v>
      </c>
      <c r="Q160" s="28"/>
      <c r="R160" s="28"/>
      <c r="S160" s="28"/>
      <c r="T160" s="25">
        <v>3</v>
      </c>
      <c r="U160" s="28"/>
      <c r="V160" s="28"/>
      <c r="W160" s="28"/>
      <c r="X160" s="28"/>
      <c r="Y160" s="25">
        <v>2</v>
      </c>
      <c r="Z160" s="28"/>
      <c r="AA160" s="28"/>
      <c r="AB160" s="28"/>
      <c r="AC160" s="28"/>
      <c r="AD160" s="25">
        <v>1</v>
      </c>
      <c r="AE160" s="28"/>
      <c r="AF160" s="28"/>
      <c r="AG160" s="28"/>
      <c r="AH160" s="28"/>
      <c r="AI160" s="28"/>
      <c r="AJ160" s="25">
        <v>1</v>
      </c>
      <c r="AK160" s="28"/>
      <c r="AL160" s="28"/>
      <c r="AM160" s="28"/>
      <c r="AN160" s="28"/>
      <c r="AO160" s="28"/>
      <c r="AP160" s="28"/>
      <c r="AQ160" t="s" s="27">
        <v>385</v>
      </c>
      <c r="AR160" s="28"/>
      <c r="AS160" s="28"/>
      <c r="AT160" s="25">
        <v>3</v>
      </c>
      <c r="AU160" s="28"/>
      <c r="AV160" s="28"/>
      <c r="AW160" s="28"/>
      <c r="AX160" s="28"/>
      <c r="AY160" s="28"/>
      <c r="AZ160" s="28"/>
      <c r="BA160" s="28"/>
      <c r="BB160" s="25">
        <v>3</v>
      </c>
      <c r="BC160" s="28"/>
      <c r="BD160" s="28"/>
      <c r="BE160" s="28"/>
    </row>
    <row r="161" ht="13.55" customHeight="1">
      <c r="A161" s="25">
        <v>6599764931</v>
      </c>
      <c r="B161" s="25">
        <v>167721399</v>
      </c>
      <c r="C161" s="26">
        <v>43091.636840277781</v>
      </c>
      <c r="D161" s="26">
        <v>43091.639340277783</v>
      </c>
      <c r="E161" t="s" s="27">
        <v>412</v>
      </c>
      <c r="F161" s="28"/>
      <c r="G161" s="28"/>
      <c r="H161" s="28"/>
      <c r="I161" s="28"/>
      <c r="J161" s="28"/>
      <c r="K161" s="28"/>
      <c r="L161" s="25">
        <v>3</v>
      </c>
      <c r="M161" s="28"/>
      <c r="N161" s="28"/>
      <c r="O161" s="28"/>
      <c r="P161" s="25">
        <v>1</v>
      </c>
      <c r="Q161" s="28"/>
      <c r="R161" s="28"/>
      <c r="S161" s="25">
        <v>2</v>
      </c>
      <c r="T161" s="28"/>
      <c r="U161" s="28"/>
      <c r="V161" s="28"/>
      <c r="W161" s="28"/>
      <c r="X161" s="28"/>
      <c r="Y161" s="28"/>
      <c r="Z161" s="28"/>
      <c r="AA161" s="25">
        <v>4</v>
      </c>
      <c r="AB161" s="28"/>
      <c r="AC161" s="28"/>
      <c r="AD161" s="28"/>
      <c r="AE161" s="28"/>
      <c r="AF161" s="28"/>
      <c r="AG161" s="25">
        <v>4</v>
      </c>
      <c r="AH161" s="28"/>
      <c r="AI161" s="28"/>
      <c r="AJ161" s="25">
        <v>1</v>
      </c>
      <c r="AK161" s="25">
        <v>2</v>
      </c>
      <c r="AL161" s="28"/>
      <c r="AM161" s="28"/>
      <c r="AN161" s="28"/>
      <c r="AO161" s="25">
        <v>6</v>
      </c>
      <c r="AP161" s="25">
        <v>7</v>
      </c>
      <c r="AQ161" t="s" s="27">
        <v>413</v>
      </c>
      <c r="AR161" s="28"/>
      <c r="AS161" s="28"/>
      <c r="AT161" s="25">
        <v>3</v>
      </c>
      <c r="AU161" s="28"/>
      <c r="AV161" s="28"/>
      <c r="AW161" s="28"/>
      <c r="AX161" s="28"/>
      <c r="AY161" s="28"/>
      <c r="AZ161" s="28"/>
      <c r="BA161" s="28"/>
      <c r="BB161" s="25">
        <v>3</v>
      </c>
      <c r="BC161" s="28"/>
      <c r="BD161" s="28"/>
      <c r="BE161" s="28"/>
    </row>
    <row r="162" ht="13.55" customHeight="1">
      <c r="A162" s="25">
        <v>6599762599</v>
      </c>
      <c r="B162" s="25">
        <v>167721399</v>
      </c>
      <c r="C162" s="26">
        <v>43091.633298611108</v>
      </c>
      <c r="D162" s="26">
        <v>43091.637291666673</v>
      </c>
      <c r="E162" t="s" s="27">
        <v>414</v>
      </c>
      <c r="F162" s="28"/>
      <c r="G162" s="28"/>
      <c r="H162" s="28"/>
      <c r="I162" s="28"/>
      <c r="J162" s="28"/>
      <c r="K162" s="25">
        <v>2</v>
      </c>
      <c r="L162" s="28"/>
      <c r="M162" s="28"/>
      <c r="N162" s="28"/>
      <c r="O162" s="28"/>
      <c r="P162" s="25">
        <v>1</v>
      </c>
      <c r="Q162" s="28"/>
      <c r="R162" s="28"/>
      <c r="S162" s="28"/>
      <c r="T162" s="28"/>
      <c r="U162" s="25">
        <v>4</v>
      </c>
      <c r="V162" s="28"/>
      <c r="W162" s="28"/>
      <c r="X162" s="28"/>
      <c r="Y162" s="28"/>
      <c r="Z162" s="25">
        <v>3</v>
      </c>
      <c r="AA162" s="28"/>
      <c r="AB162" s="28"/>
      <c r="AC162" s="28"/>
      <c r="AD162" s="28"/>
      <c r="AE162" s="28"/>
      <c r="AF162" s="25">
        <v>3</v>
      </c>
      <c r="AG162" s="28"/>
      <c r="AH162" s="28"/>
      <c r="AI162" s="28"/>
      <c r="AJ162" s="25">
        <v>1</v>
      </c>
      <c r="AK162" s="25">
        <v>2</v>
      </c>
      <c r="AL162" s="28"/>
      <c r="AM162" s="28"/>
      <c r="AN162" s="25">
        <v>5</v>
      </c>
      <c r="AO162" s="28"/>
      <c r="AP162" s="28"/>
      <c r="AQ162" t="s" s="27">
        <v>415</v>
      </c>
      <c r="AR162" s="28"/>
      <c r="AS162" s="25">
        <v>2</v>
      </c>
      <c r="AT162" s="28"/>
      <c r="AU162" s="28"/>
      <c r="AV162" s="28"/>
      <c r="AW162" s="28"/>
      <c r="AX162" s="28"/>
      <c r="AY162" s="28"/>
      <c r="AZ162" s="28"/>
      <c r="BA162" s="28"/>
      <c r="BB162" s="25">
        <v>3</v>
      </c>
      <c r="BC162" s="28"/>
      <c r="BD162" s="28"/>
      <c r="BE162" s="28"/>
    </row>
    <row r="163" ht="13.55" customHeight="1">
      <c r="A163" s="25">
        <v>6599762213</v>
      </c>
      <c r="B163" s="25">
        <v>167721399</v>
      </c>
      <c r="C163" s="26">
        <v>43091.635787037027</v>
      </c>
      <c r="D163" s="26">
        <v>43091.636956018519</v>
      </c>
      <c r="E163" t="s" s="27">
        <v>416</v>
      </c>
      <c r="F163" s="28"/>
      <c r="G163" s="28"/>
      <c r="H163" s="28"/>
      <c r="I163" s="28"/>
      <c r="J163" s="28"/>
      <c r="K163" s="25">
        <v>2</v>
      </c>
      <c r="L163" s="28"/>
      <c r="M163" s="28"/>
      <c r="N163" s="28"/>
      <c r="O163" s="28"/>
      <c r="P163" s="25">
        <v>1</v>
      </c>
      <c r="Q163" s="28"/>
      <c r="R163" s="25">
        <v>1</v>
      </c>
      <c r="S163" s="28"/>
      <c r="T163" s="28"/>
      <c r="U163" s="28"/>
      <c r="V163" s="28"/>
      <c r="W163" s="28"/>
      <c r="X163" s="28"/>
      <c r="Y163" s="25">
        <v>2</v>
      </c>
      <c r="Z163" s="28"/>
      <c r="AA163" s="28"/>
      <c r="AB163" s="28"/>
      <c r="AC163" s="28"/>
      <c r="AD163" s="28"/>
      <c r="AE163" s="25">
        <v>2</v>
      </c>
      <c r="AF163" s="28"/>
      <c r="AG163" s="28"/>
      <c r="AH163" s="28"/>
      <c r="AI163" s="28"/>
      <c r="AJ163" s="28"/>
      <c r="AK163" s="28"/>
      <c r="AL163" s="28"/>
      <c r="AM163" s="28"/>
      <c r="AN163" s="25">
        <v>5</v>
      </c>
      <c r="AO163" s="28"/>
      <c r="AP163" s="28"/>
      <c r="AQ163" t="s" s="27">
        <v>417</v>
      </c>
      <c r="AR163" s="25">
        <v>1</v>
      </c>
      <c r="AS163" s="28"/>
      <c r="AT163" s="28"/>
      <c r="AU163" s="28"/>
      <c r="AV163" s="28"/>
      <c r="AW163" s="28"/>
      <c r="AX163" s="28"/>
      <c r="AY163" s="28"/>
      <c r="AZ163" s="28"/>
      <c r="BA163" s="28"/>
      <c r="BB163" s="25">
        <v>3</v>
      </c>
      <c r="BC163" s="28"/>
      <c r="BD163" s="28"/>
      <c r="BE163" s="28"/>
    </row>
    <row r="164" ht="13.55" customHeight="1">
      <c r="A164" s="25">
        <v>6599761210</v>
      </c>
      <c r="B164" s="25">
        <v>167721399</v>
      </c>
      <c r="C164" s="26">
        <v>43091.635520833333</v>
      </c>
      <c r="D164" s="26">
        <v>43091.636087962957</v>
      </c>
      <c r="E164" t="s" s="27">
        <v>418</v>
      </c>
      <c r="F164" s="28"/>
      <c r="G164" s="28"/>
      <c r="H164" s="28"/>
      <c r="I164" s="28"/>
      <c r="J164" s="28"/>
      <c r="K164" s="25">
        <v>2</v>
      </c>
      <c r="L164" s="28"/>
      <c r="M164" s="28"/>
      <c r="N164" s="28"/>
      <c r="O164" s="28"/>
      <c r="P164" s="25">
        <v>1</v>
      </c>
      <c r="Q164" s="28"/>
      <c r="R164" s="25">
        <v>1</v>
      </c>
      <c r="S164" s="28"/>
      <c r="T164" s="28"/>
      <c r="U164" s="28"/>
      <c r="V164" s="28"/>
      <c r="W164" s="28"/>
      <c r="X164" s="28"/>
      <c r="Y164" s="25">
        <v>2</v>
      </c>
      <c r="Z164" s="28"/>
      <c r="AA164" s="28"/>
      <c r="AB164" s="28"/>
      <c r="AC164" s="28"/>
      <c r="AD164" s="28"/>
      <c r="AE164" s="25">
        <v>2</v>
      </c>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row>
    <row r="165" ht="13.55" customHeight="1">
      <c r="A165" s="25">
        <v>6599756084</v>
      </c>
      <c r="B165" s="25">
        <v>167721399</v>
      </c>
      <c r="C165" s="26">
        <v>43091.630254629628</v>
      </c>
      <c r="D165" s="26">
        <v>43091.631747685176</v>
      </c>
      <c r="E165" t="s" s="27">
        <v>419</v>
      </c>
      <c r="F165" s="28"/>
      <c r="G165" s="28"/>
      <c r="H165" s="28"/>
      <c r="I165" s="28"/>
      <c r="J165" s="28"/>
      <c r="K165" s="28"/>
      <c r="L165" s="25">
        <v>3</v>
      </c>
      <c r="M165" s="28"/>
      <c r="N165" s="28"/>
      <c r="O165" s="28"/>
      <c r="P165" s="25">
        <v>1</v>
      </c>
      <c r="Q165" s="28"/>
      <c r="R165" s="28"/>
      <c r="S165" s="28"/>
      <c r="T165" s="28"/>
      <c r="U165" s="25">
        <v>4</v>
      </c>
      <c r="V165" s="28"/>
      <c r="W165" s="28"/>
      <c r="X165" s="28"/>
      <c r="Y165" s="28"/>
      <c r="Z165" s="28"/>
      <c r="AA165" s="25">
        <v>4</v>
      </c>
      <c r="AB165" s="28"/>
      <c r="AC165" s="28"/>
      <c r="AD165" s="28"/>
      <c r="AE165" s="28"/>
      <c r="AF165" s="25">
        <v>3</v>
      </c>
      <c r="AG165" s="28"/>
      <c r="AH165" s="28"/>
      <c r="AI165" s="28"/>
      <c r="AJ165" s="25">
        <v>1</v>
      </c>
      <c r="AK165" s="28"/>
      <c r="AL165" s="28"/>
      <c r="AM165" s="28"/>
      <c r="AN165" s="28"/>
      <c r="AO165" s="28"/>
      <c r="AP165" s="28"/>
      <c r="AQ165" t="s" s="27">
        <v>420</v>
      </c>
      <c r="AR165" s="28"/>
      <c r="AS165" s="28"/>
      <c r="AT165" s="28"/>
      <c r="AU165" s="25">
        <v>4</v>
      </c>
      <c r="AV165" s="28"/>
      <c r="AW165" s="28"/>
      <c r="AX165" s="28"/>
      <c r="AY165" s="28"/>
      <c r="AZ165" s="28"/>
      <c r="BA165" s="28"/>
      <c r="BB165" s="25">
        <v>3</v>
      </c>
      <c r="BC165" s="28"/>
      <c r="BD165" s="28"/>
      <c r="BE165" s="28"/>
    </row>
    <row r="166" ht="13.55" customHeight="1">
      <c r="A166" s="25">
        <v>6599750992</v>
      </c>
      <c r="B166" s="25">
        <v>167721399</v>
      </c>
      <c r="C166" s="26">
        <v>43091.625925925917</v>
      </c>
      <c r="D166" s="26">
        <v>43091.6275</v>
      </c>
      <c r="E166" t="s" s="27">
        <v>421</v>
      </c>
      <c r="F166" s="28"/>
      <c r="G166" s="28"/>
      <c r="H166" s="28"/>
      <c r="I166" s="28"/>
      <c r="J166" s="28"/>
      <c r="K166" s="25">
        <v>2</v>
      </c>
      <c r="L166" s="28"/>
      <c r="M166" s="28"/>
      <c r="N166" s="28"/>
      <c r="O166" s="28"/>
      <c r="P166" s="25">
        <v>1</v>
      </c>
      <c r="Q166" s="28"/>
      <c r="R166" s="25">
        <v>1</v>
      </c>
      <c r="S166" s="28"/>
      <c r="T166" s="28"/>
      <c r="U166" s="28"/>
      <c r="V166" s="28"/>
      <c r="W166" s="28"/>
      <c r="X166" s="28"/>
      <c r="Y166" s="28"/>
      <c r="Z166" s="28"/>
      <c r="AA166" s="25">
        <v>4</v>
      </c>
      <c r="AB166" s="28"/>
      <c r="AC166" s="28"/>
      <c r="AD166" s="28"/>
      <c r="AE166" s="25">
        <v>2</v>
      </c>
      <c r="AF166" s="28"/>
      <c r="AG166" s="28"/>
      <c r="AH166" s="28"/>
      <c r="AI166" s="28"/>
      <c r="AJ166" s="25">
        <v>1</v>
      </c>
      <c r="AK166" s="28"/>
      <c r="AL166" s="28"/>
      <c r="AM166" s="28"/>
      <c r="AN166" s="28"/>
      <c r="AO166" s="28"/>
      <c r="AP166" s="28"/>
      <c r="AQ166" t="s" s="27">
        <v>422</v>
      </c>
      <c r="AR166" s="28"/>
      <c r="AS166" s="28"/>
      <c r="AT166" s="28"/>
      <c r="AU166" s="25">
        <v>4</v>
      </c>
      <c r="AV166" s="28"/>
      <c r="AW166" s="28"/>
      <c r="AX166" s="28"/>
      <c r="AY166" s="28"/>
      <c r="AZ166" s="28"/>
      <c r="BA166" s="28"/>
      <c r="BB166" s="25">
        <v>3</v>
      </c>
      <c r="BC166" s="28"/>
      <c r="BD166" s="28"/>
      <c r="BE166" s="28"/>
    </row>
    <row r="167" ht="13.55" customHeight="1">
      <c r="A167" s="25">
        <v>6599749052</v>
      </c>
      <c r="B167" s="25">
        <v>167721399</v>
      </c>
      <c r="C167" s="26">
        <v>43091.621458333328</v>
      </c>
      <c r="D167" s="26">
        <v>43091.625995370370</v>
      </c>
      <c r="E167" t="s" s="27">
        <v>423</v>
      </c>
      <c r="F167" s="28"/>
      <c r="G167" s="28"/>
      <c r="H167" s="28"/>
      <c r="I167" s="28"/>
      <c r="J167" s="28"/>
      <c r="K167" s="28"/>
      <c r="L167" s="25">
        <v>3</v>
      </c>
      <c r="M167" s="28"/>
      <c r="N167" s="28"/>
      <c r="O167" s="28"/>
      <c r="P167" s="25">
        <v>1</v>
      </c>
      <c r="Q167" s="28"/>
      <c r="R167" s="28"/>
      <c r="S167" s="28"/>
      <c r="T167" s="28"/>
      <c r="U167" s="25">
        <v>4</v>
      </c>
      <c r="V167" s="28"/>
      <c r="W167" s="28"/>
      <c r="X167" s="28"/>
      <c r="Y167" s="28"/>
      <c r="Z167" s="28"/>
      <c r="AA167" s="25">
        <v>4</v>
      </c>
      <c r="AB167" s="28"/>
      <c r="AC167" s="28"/>
      <c r="AD167" s="28"/>
      <c r="AE167" s="28"/>
      <c r="AF167" s="28"/>
      <c r="AG167" s="25">
        <v>4</v>
      </c>
      <c r="AH167" s="28"/>
      <c r="AI167" s="28"/>
      <c r="AJ167" s="25">
        <v>1</v>
      </c>
      <c r="AK167" s="25">
        <v>2</v>
      </c>
      <c r="AL167" s="25">
        <v>3</v>
      </c>
      <c r="AM167" s="28"/>
      <c r="AN167" s="28"/>
      <c r="AO167" s="25">
        <v>6</v>
      </c>
      <c r="AP167" s="28"/>
      <c r="AQ167" t="s" s="27">
        <v>424</v>
      </c>
      <c r="AR167" s="28"/>
      <c r="AS167" s="28"/>
      <c r="AT167" s="28"/>
      <c r="AU167" s="28"/>
      <c r="AV167" s="28"/>
      <c r="AW167" s="28"/>
      <c r="AX167" s="28"/>
      <c r="AY167" s="25">
        <v>8</v>
      </c>
      <c r="AZ167" s="28"/>
      <c r="BA167" s="28"/>
      <c r="BB167" s="28"/>
      <c r="BC167" s="25">
        <v>4</v>
      </c>
      <c r="BD167" s="28"/>
      <c r="BE167" s="28"/>
    </row>
    <row r="168" ht="13.55" customHeight="1">
      <c r="A168" s="25">
        <v>6599748788</v>
      </c>
      <c r="B168" s="25">
        <v>167721399</v>
      </c>
      <c r="C168" s="26">
        <v>43091.624884259261</v>
      </c>
      <c r="D168" s="26">
        <v>43091.625775462962</v>
      </c>
      <c r="E168" t="s" s="27">
        <v>425</v>
      </c>
      <c r="F168" s="28"/>
      <c r="G168" s="28"/>
      <c r="H168" s="28"/>
      <c r="I168" s="28"/>
      <c r="J168" s="28"/>
      <c r="K168" s="28"/>
      <c r="L168" s="25">
        <v>3</v>
      </c>
      <c r="M168" s="28"/>
      <c r="N168" s="28"/>
      <c r="O168" s="28"/>
      <c r="P168" s="25">
        <v>1</v>
      </c>
      <c r="Q168" s="28"/>
      <c r="R168" s="28"/>
      <c r="S168" s="28"/>
      <c r="T168" s="28"/>
      <c r="U168" s="28"/>
      <c r="V168" s="25">
        <v>5</v>
      </c>
      <c r="W168" s="28"/>
      <c r="X168" s="28"/>
      <c r="Y168" s="28"/>
      <c r="Z168" s="28"/>
      <c r="AA168" s="28"/>
      <c r="AB168" s="25">
        <v>5</v>
      </c>
      <c r="AC168" s="28"/>
      <c r="AD168" s="28"/>
      <c r="AE168" s="28"/>
      <c r="AF168" s="25">
        <v>3</v>
      </c>
      <c r="AG168" s="28"/>
      <c r="AH168" s="28"/>
      <c r="AI168" s="28"/>
      <c r="AJ168" s="25">
        <v>1</v>
      </c>
      <c r="AK168" s="28"/>
      <c r="AL168" s="28"/>
      <c r="AM168" s="28"/>
      <c r="AN168" s="28"/>
      <c r="AO168" s="25">
        <v>6</v>
      </c>
      <c r="AP168" s="28"/>
      <c r="AQ168" s="28"/>
      <c r="AR168" s="28"/>
      <c r="AS168" s="25">
        <v>2</v>
      </c>
      <c r="AT168" s="28"/>
      <c r="AU168" s="28"/>
      <c r="AV168" s="28"/>
      <c r="AW168" s="28"/>
      <c r="AX168" s="28"/>
      <c r="AY168" s="28"/>
      <c r="AZ168" s="28"/>
      <c r="BA168" s="28"/>
      <c r="BB168" s="25">
        <v>3</v>
      </c>
      <c r="BC168" s="28"/>
      <c r="BD168" s="28"/>
      <c r="BE168" s="28"/>
    </row>
    <row r="169" ht="13.55" customHeight="1">
      <c r="A169" s="25">
        <v>6599745872</v>
      </c>
      <c r="B169" s="25">
        <v>167721399</v>
      </c>
      <c r="C169" s="26">
        <v>43091.622395833343</v>
      </c>
      <c r="D169" s="26">
        <v>43091.623379629629</v>
      </c>
      <c r="E169" t="s" s="27">
        <v>426</v>
      </c>
      <c r="F169" s="28"/>
      <c r="G169" s="28"/>
      <c r="H169" s="28"/>
      <c r="I169" s="28"/>
      <c r="J169" s="28"/>
      <c r="K169" s="25">
        <v>2</v>
      </c>
      <c r="L169" s="28"/>
      <c r="M169" s="28"/>
      <c r="N169" s="28"/>
      <c r="O169" s="28"/>
      <c r="P169" s="25">
        <v>1</v>
      </c>
      <c r="Q169" s="28"/>
      <c r="R169" s="25">
        <v>1</v>
      </c>
      <c r="S169" s="28"/>
      <c r="T169" s="28"/>
      <c r="U169" s="28"/>
      <c r="V169" s="28"/>
      <c r="W169" s="28"/>
      <c r="X169" s="28"/>
      <c r="Y169" s="25">
        <v>2</v>
      </c>
      <c r="Z169" s="28"/>
      <c r="AA169" s="28"/>
      <c r="AB169" s="28"/>
      <c r="AC169" s="28"/>
      <c r="AD169" s="25">
        <v>1</v>
      </c>
      <c r="AE169" s="28"/>
      <c r="AF169" s="28"/>
      <c r="AG169" s="28"/>
      <c r="AH169" s="28"/>
      <c r="AI169" s="28"/>
      <c r="AJ169" s="25">
        <v>1</v>
      </c>
      <c r="AK169" s="28"/>
      <c r="AL169" s="28"/>
      <c r="AM169" s="28"/>
      <c r="AN169" s="28"/>
      <c r="AO169" s="28"/>
      <c r="AP169" s="28"/>
      <c r="AQ169" t="s" s="27">
        <v>427</v>
      </c>
      <c r="AR169" s="28"/>
      <c r="AS169" s="28"/>
      <c r="AT169" s="28"/>
      <c r="AU169" s="28"/>
      <c r="AV169" s="28"/>
      <c r="AW169" s="28"/>
      <c r="AX169" s="28"/>
      <c r="AY169" s="25">
        <v>8</v>
      </c>
      <c r="AZ169" s="28"/>
      <c r="BA169" s="28"/>
      <c r="BB169" s="28"/>
      <c r="BC169" s="25">
        <v>4</v>
      </c>
      <c r="BD169" s="28"/>
      <c r="BE169" s="28"/>
    </row>
    <row r="170" ht="13.55" customHeight="1">
      <c r="A170" s="25">
        <v>6599743175</v>
      </c>
      <c r="B170" s="25">
        <v>167721399</v>
      </c>
      <c r="C170" s="26">
        <v>43091.620185185187</v>
      </c>
      <c r="D170" s="26">
        <v>43091.621180555558</v>
      </c>
      <c r="E170" t="s" s="27">
        <v>428</v>
      </c>
      <c r="F170" s="28"/>
      <c r="G170" s="28"/>
      <c r="H170" s="28"/>
      <c r="I170" s="28"/>
      <c r="J170" s="28"/>
      <c r="K170" s="28"/>
      <c r="L170" s="25">
        <v>3</v>
      </c>
      <c r="M170" s="28"/>
      <c r="N170" s="28"/>
      <c r="O170" s="28"/>
      <c r="P170" s="25">
        <v>1</v>
      </c>
      <c r="Q170" s="28"/>
      <c r="R170" s="28"/>
      <c r="S170" s="25">
        <v>2</v>
      </c>
      <c r="T170" s="28"/>
      <c r="U170" s="28"/>
      <c r="V170" s="28"/>
      <c r="W170" s="28"/>
      <c r="X170" s="28"/>
      <c r="Y170" s="28"/>
      <c r="Z170" s="25">
        <v>3</v>
      </c>
      <c r="AA170" s="28"/>
      <c r="AB170" s="28"/>
      <c r="AC170" s="28"/>
      <c r="AD170" s="28"/>
      <c r="AE170" s="25">
        <v>2</v>
      </c>
      <c r="AF170" s="28"/>
      <c r="AG170" s="28"/>
      <c r="AH170" s="28"/>
      <c r="AI170" s="28"/>
      <c r="AJ170" s="25">
        <v>1</v>
      </c>
      <c r="AK170" s="28"/>
      <c r="AL170" s="28"/>
      <c r="AM170" s="28"/>
      <c r="AN170" s="28"/>
      <c r="AO170" s="28"/>
      <c r="AP170" s="28"/>
      <c r="AQ170" t="s" s="27">
        <v>429</v>
      </c>
      <c r="AR170" s="28"/>
      <c r="AS170" s="25">
        <v>2</v>
      </c>
      <c r="AT170" s="28"/>
      <c r="AU170" s="28"/>
      <c r="AV170" s="28"/>
      <c r="AW170" s="28"/>
      <c r="AX170" s="28"/>
      <c r="AY170" s="28"/>
      <c r="AZ170" s="28"/>
      <c r="BA170" s="28"/>
      <c r="BB170" s="25">
        <v>3</v>
      </c>
      <c r="BC170" s="28"/>
      <c r="BD170" s="28"/>
      <c r="BE170" s="28"/>
    </row>
    <row r="171" ht="13.55" customHeight="1">
      <c r="A171" s="25">
        <v>6599743157</v>
      </c>
      <c r="B171" s="25">
        <v>167721399</v>
      </c>
      <c r="C171" s="26">
        <v>43091.620428240742</v>
      </c>
      <c r="D171" s="26">
        <v>43091.621168981481</v>
      </c>
      <c r="E171" t="s" s="27">
        <v>430</v>
      </c>
      <c r="F171" s="28"/>
      <c r="G171" s="28"/>
      <c r="H171" s="28"/>
      <c r="I171" s="28"/>
      <c r="J171" s="28"/>
      <c r="K171" s="25">
        <v>2</v>
      </c>
      <c r="L171" s="28"/>
      <c r="M171" s="28"/>
      <c r="N171" s="28"/>
      <c r="O171" s="28"/>
      <c r="P171" s="25">
        <v>1</v>
      </c>
      <c r="Q171" s="28"/>
      <c r="R171" s="28"/>
      <c r="S171" s="25">
        <v>2</v>
      </c>
      <c r="T171" s="28"/>
      <c r="U171" s="28"/>
      <c r="V171" s="28"/>
      <c r="W171" s="28"/>
      <c r="X171" s="28"/>
      <c r="Y171" s="25">
        <v>2</v>
      </c>
      <c r="Z171" s="28"/>
      <c r="AA171" s="28"/>
      <c r="AB171" s="28"/>
      <c r="AC171" s="28"/>
      <c r="AD171" s="28"/>
      <c r="AE171" s="25">
        <v>2</v>
      </c>
      <c r="AF171" s="28"/>
      <c r="AG171" s="28"/>
      <c r="AH171" s="28"/>
      <c r="AI171" s="28"/>
      <c r="AJ171" s="28"/>
      <c r="AK171" s="28"/>
      <c r="AL171" s="28"/>
      <c r="AM171" s="28"/>
      <c r="AN171" s="28"/>
      <c r="AO171" s="25">
        <v>6</v>
      </c>
      <c r="AP171" s="28"/>
      <c r="AQ171" t="s" s="27">
        <v>431</v>
      </c>
      <c r="AR171" s="28"/>
      <c r="AS171" s="28"/>
      <c r="AT171" s="25">
        <v>3</v>
      </c>
      <c r="AU171" s="28"/>
      <c r="AV171" s="28"/>
      <c r="AW171" s="28"/>
      <c r="AX171" s="28"/>
      <c r="AY171" s="28"/>
      <c r="AZ171" s="28"/>
      <c r="BA171" s="28"/>
      <c r="BB171" s="28"/>
      <c r="BC171" s="25">
        <v>4</v>
      </c>
      <c r="BD171" s="28"/>
      <c r="BE171" s="28"/>
    </row>
    <row r="172" ht="13.55" customHeight="1">
      <c r="A172" s="25">
        <v>6599741064</v>
      </c>
      <c r="B172" s="25">
        <v>167721399</v>
      </c>
      <c r="C172" s="26">
        <v>43091.618206018517</v>
      </c>
      <c r="D172" s="26">
        <v>43091.619490740741</v>
      </c>
      <c r="E172" t="s" s="27">
        <v>432</v>
      </c>
      <c r="F172" s="28"/>
      <c r="G172" s="28"/>
      <c r="H172" s="28"/>
      <c r="I172" s="28"/>
      <c r="J172" s="28"/>
      <c r="K172" s="28"/>
      <c r="L172" s="28"/>
      <c r="M172" s="25">
        <v>4</v>
      </c>
      <c r="N172" s="28"/>
      <c r="O172" s="28"/>
      <c r="P172" s="25">
        <v>1</v>
      </c>
      <c r="Q172" s="28"/>
      <c r="R172" s="28"/>
      <c r="S172" s="25">
        <v>2</v>
      </c>
      <c r="T172" s="28"/>
      <c r="U172" s="28"/>
      <c r="V172" s="28"/>
      <c r="W172" s="28"/>
      <c r="X172" s="28"/>
      <c r="Y172" s="25">
        <v>2</v>
      </c>
      <c r="Z172" s="28"/>
      <c r="AA172" s="28"/>
      <c r="AB172" s="28"/>
      <c r="AC172" s="28"/>
      <c r="AD172" s="28"/>
      <c r="AE172" s="25">
        <v>2</v>
      </c>
      <c r="AF172" s="28"/>
      <c r="AG172" s="28"/>
      <c r="AH172" s="28"/>
      <c r="AI172" s="28"/>
      <c r="AJ172" s="25">
        <v>1</v>
      </c>
      <c r="AK172" s="28"/>
      <c r="AL172" s="28"/>
      <c r="AM172" s="28"/>
      <c r="AN172" s="28"/>
      <c r="AO172" s="28"/>
      <c r="AP172" s="28"/>
      <c r="AQ172" t="s" s="27">
        <v>433</v>
      </c>
      <c r="AR172" s="28"/>
      <c r="AS172" s="28"/>
      <c r="AT172" s="25">
        <v>3</v>
      </c>
      <c r="AU172" s="28"/>
      <c r="AV172" s="28"/>
      <c r="AW172" s="28"/>
      <c r="AX172" s="28"/>
      <c r="AY172" s="28"/>
      <c r="AZ172" s="28"/>
      <c r="BA172" s="28"/>
      <c r="BB172" s="25">
        <v>3</v>
      </c>
      <c r="BC172" s="28"/>
      <c r="BD172" s="28"/>
      <c r="BE172" t="s" s="27">
        <v>434</v>
      </c>
    </row>
    <row r="173" ht="13.55" customHeight="1">
      <c r="A173" s="25">
        <v>6599740214</v>
      </c>
      <c r="B173" s="25">
        <v>167721399</v>
      </c>
      <c r="C173" s="26">
        <v>43091.617696759262</v>
      </c>
      <c r="D173" s="26">
        <v>43091.618807870371</v>
      </c>
      <c r="E173" t="s" s="27">
        <v>435</v>
      </c>
      <c r="F173" s="28"/>
      <c r="G173" s="28"/>
      <c r="H173" s="28"/>
      <c r="I173" s="28"/>
      <c r="J173" s="28"/>
      <c r="K173" s="25">
        <v>2</v>
      </c>
      <c r="L173" s="28"/>
      <c r="M173" s="28"/>
      <c r="N173" s="28"/>
      <c r="O173" s="28"/>
      <c r="P173" s="25">
        <v>1</v>
      </c>
      <c r="Q173" s="28"/>
      <c r="R173" s="28"/>
      <c r="S173" s="25">
        <v>2</v>
      </c>
      <c r="T173" s="28"/>
      <c r="U173" s="28"/>
      <c r="V173" s="28"/>
      <c r="W173" s="28"/>
      <c r="X173" s="28"/>
      <c r="Y173" s="25">
        <v>2</v>
      </c>
      <c r="Z173" s="28"/>
      <c r="AA173" s="28"/>
      <c r="AB173" s="28"/>
      <c r="AC173" s="28"/>
      <c r="AD173" s="28"/>
      <c r="AE173" s="25">
        <v>2</v>
      </c>
      <c r="AF173" s="28"/>
      <c r="AG173" s="28"/>
      <c r="AH173" s="28"/>
      <c r="AI173" s="28"/>
      <c r="AJ173" s="25">
        <v>1</v>
      </c>
      <c r="AK173" s="28"/>
      <c r="AL173" s="28"/>
      <c r="AM173" s="28"/>
      <c r="AN173" s="28"/>
      <c r="AO173" s="25">
        <v>6</v>
      </c>
      <c r="AP173" s="28"/>
      <c r="AQ173" t="s" s="27">
        <v>436</v>
      </c>
      <c r="AR173" s="28"/>
      <c r="AS173" s="25">
        <v>2</v>
      </c>
      <c r="AT173" s="28"/>
      <c r="AU173" s="28"/>
      <c r="AV173" s="28"/>
      <c r="AW173" s="28"/>
      <c r="AX173" s="28"/>
      <c r="AY173" s="28"/>
      <c r="AZ173" s="28"/>
      <c r="BA173" s="28"/>
      <c r="BB173" s="25">
        <v>3</v>
      </c>
      <c r="BC173" s="28"/>
      <c r="BD173" s="28"/>
      <c r="BE173" s="28"/>
    </row>
    <row r="174" ht="13.55" customHeight="1">
      <c r="A174" s="25">
        <v>6599737746</v>
      </c>
      <c r="B174" s="25">
        <v>167721399</v>
      </c>
      <c r="C174" s="26">
        <v>43091.615682870368</v>
      </c>
      <c r="D174" s="26">
        <v>43091.6169212963</v>
      </c>
      <c r="E174" t="s" s="27">
        <v>437</v>
      </c>
      <c r="F174" s="28"/>
      <c r="G174" s="28"/>
      <c r="H174" s="28"/>
      <c r="I174" s="28"/>
      <c r="J174" s="28"/>
      <c r="K174" s="28"/>
      <c r="L174" s="25">
        <v>3</v>
      </c>
      <c r="M174" s="28"/>
      <c r="N174" s="28"/>
      <c r="O174" s="28"/>
      <c r="P174" s="25">
        <v>1</v>
      </c>
      <c r="Q174" s="28"/>
      <c r="R174" s="28"/>
      <c r="S174" s="28"/>
      <c r="T174" s="28"/>
      <c r="U174" s="25">
        <v>4</v>
      </c>
      <c r="V174" s="28"/>
      <c r="W174" s="28"/>
      <c r="X174" s="28"/>
      <c r="Y174" s="25">
        <v>2</v>
      </c>
      <c r="Z174" s="28"/>
      <c r="AA174" s="28"/>
      <c r="AB174" s="28"/>
      <c r="AC174" s="28"/>
      <c r="AD174" s="28"/>
      <c r="AE174" s="25">
        <v>2</v>
      </c>
      <c r="AF174" s="28"/>
      <c r="AG174" s="28"/>
      <c r="AH174" s="28"/>
      <c r="AI174" s="28"/>
      <c r="AJ174" s="25">
        <v>1</v>
      </c>
      <c r="AK174" s="25">
        <v>2</v>
      </c>
      <c r="AL174" s="28"/>
      <c r="AM174" s="28"/>
      <c r="AN174" s="25">
        <v>5</v>
      </c>
      <c r="AO174" s="25">
        <v>6</v>
      </c>
      <c r="AP174" s="28"/>
      <c r="AQ174" t="s" s="27">
        <v>438</v>
      </c>
      <c r="AR174" s="28"/>
      <c r="AS174" s="28"/>
      <c r="AT174" s="28"/>
      <c r="AU174" s="28"/>
      <c r="AV174" s="28"/>
      <c r="AW174" s="28"/>
      <c r="AX174" s="28"/>
      <c r="AY174" s="25">
        <v>8</v>
      </c>
      <c r="AZ174" s="28"/>
      <c r="BA174" s="28"/>
      <c r="BB174" s="25">
        <v>3</v>
      </c>
      <c r="BC174" s="28"/>
      <c r="BD174" s="28"/>
      <c r="BE174" s="28"/>
    </row>
    <row r="175" ht="13.55" customHeight="1">
      <c r="A175" s="25">
        <v>6599733787</v>
      </c>
      <c r="B175" s="25">
        <v>167721399</v>
      </c>
      <c r="C175" s="26">
        <v>43091.612326388888</v>
      </c>
      <c r="D175" s="26">
        <v>43091.613773148150</v>
      </c>
      <c r="E175" t="s" s="27">
        <v>439</v>
      </c>
      <c r="F175" s="28"/>
      <c r="G175" s="28"/>
      <c r="H175" s="28"/>
      <c r="I175" s="28"/>
      <c r="J175" s="28"/>
      <c r="K175" s="25">
        <v>2</v>
      </c>
      <c r="L175" s="28"/>
      <c r="M175" s="28"/>
      <c r="N175" s="28"/>
      <c r="O175" s="28"/>
      <c r="P175" s="25">
        <v>1</v>
      </c>
      <c r="Q175" s="28"/>
      <c r="R175" s="28"/>
      <c r="S175" s="28"/>
      <c r="T175" s="28"/>
      <c r="U175" s="25">
        <v>4</v>
      </c>
      <c r="V175" s="28"/>
      <c r="W175" s="28"/>
      <c r="X175" s="28"/>
      <c r="Y175" s="28"/>
      <c r="Z175" s="25">
        <v>3</v>
      </c>
      <c r="AA175" s="28"/>
      <c r="AB175" s="28"/>
      <c r="AC175" s="28"/>
      <c r="AD175" s="28"/>
      <c r="AE175" s="28"/>
      <c r="AF175" s="25">
        <v>3</v>
      </c>
      <c r="AG175" s="28"/>
      <c r="AH175" s="28"/>
      <c r="AI175" s="28"/>
      <c r="AJ175" s="25">
        <v>1</v>
      </c>
      <c r="AK175" s="28"/>
      <c r="AL175" s="28"/>
      <c r="AM175" s="28"/>
      <c r="AN175" s="25">
        <v>5</v>
      </c>
      <c r="AO175" s="28"/>
      <c r="AP175" s="25">
        <v>7</v>
      </c>
      <c r="AQ175" t="s" s="27">
        <v>440</v>
      </c>
      <c r="AR175" s="28"/>
      <c r="AS175" s="28"/>
      <c r="AT175" s="28"/>
      <c r="AU175" s="28"/>
      <c r="AV175" s="28"/>
      <c r="AW175" s="28"/>
      <c r="AX175" s="28"/>
      <c r="AY175" s="25">
        <v>8</v>
      </c>
      <c r="AZ175" s="28"/>
      <c r="BA175" s="28"/>
      <c r="BB175" s="28"/>
      <c r="BC175" s="25">
        <v>4</v>
      </c>
      <c r="BD175" s="28"/>
      <c r="BE175" s="28"/>
    </row>
    <row r="176" ht="13.55" customHeight="1">
      <c r="A176" s="25">
        <v>6599730703</v>
      </c>
      <c r="B176" s="25">
        <v>167721399</v>
      </c>
      <c r="C176" s="26">
        <v>43091.6105787037</v>
      </c>
      <c r="D176" s="26">
        <v>43091.611342592587</v>
      </c>
      <c r="E176" t="s" s="27">
        <v>441</v>
      </c>
      <c r="F176" s="28"/>
      <c r="G176" s="28"/>
      <c r="H176" s="28"/>
      <c r="I176" s="28"/>
      <c r="J176" s="28"/>
      <c r="K176" s="28"/>
      <c r="L176" s="25">
        <v>3</v>
      </c>
      <c r="M176" s="28"/>
      <c r="N176" s="28"/>
      <c r="O176" s="28"/>
      <c r="P176" s="25">
        <v>1</v>
      </c>
      <c r="Q176" s="28"/>
      <c r="R176" s="28"/>
      <c r="S176" s="28"/>
      <c r="T176" s="25">
        <v>3</v>
      </c>
      <c r="U176" s="28"/>
      <c r="V176" s="28"/>
      <c r="W176" s="28"/>
      <c r="X176" s="28"/>
      <c r="Y176" s="28"/>
      <c r="Z176" s="25">
        <v>3</v>
      </c>
      <c r="AA176" s="28"/>
      <c r="AB176" s="28"/>
      <c r="AC176" s="28"/>
      <c r="AD176" s="28"/>
      <c r="AE176" s="25">
        <v>2</v>
      </c>
      <c r="AF176" s="28"/>
      <c r="AG176" s="28"/>
      <c r="AH176" s="28"/>
      <c r="AI176" s="28"/>
      <c r="AJ176" s="25">
        <v>1</v>
      </c>
      <c r="AK176" s="28"/>
      <c r="AL176" s="28"/>
      <c r="AM176" s="28"/>
      <c r="AN176" s="28"/>
      <c r="AO176" s="28"/>
      <c r="AP176" s="28"/>
      <c r="AQ176" t="s" s="27">
        <v>442</v>
      </c>
      <c r="AR176" s="28"/>
      <c r="AS176" s="28"/>
      <c r="AT176" s="25">
        <v>3</v>
      </c>
      <c r="AU176" s="28"/>
      <c r="AV176" s="28"/>
      <c r="AW176" s="28"/>
      <c r="AX176" s="28"/>
      <c r="AY176" s="28"/>
      <c r="AZ176" s="28"/>
      <c r="BA176" s="28"/>
      <c r="BB176" s="28"/>
      <c r="BC176" s="25">
        <v>4</v>
      </c>
      <c r="BD176" s="28"/>
      <c r="BE176" s="28"/>
    </row>
    <row r="177" ht="13.55" customHeight="1">
      <c r="A177" s="25">
        <v>6599728127</v>
      </c>
      <c r="B177" s="25">
        <v>167721399</v>
      </c>
      <c r="C177" s="26">
        <v>43091.608692129630</v>
      </c>
      <c r="D177" s="26">
        <v>43091.609317129631</v>
      </c>
      <c r="E177" t="s" s="27">
        <v>443</v>
      </c>
      <c r="F177" s="28"/>
      <c r="G177" s="28"/>
      <c r="H177" s="28"/>
      <c r="I177" s="28"/>
      <c r="J177" s="28"/>
      <c r="K177" s="25">
        <v>2</v>
      </c>
      <c r="L177" s="28"/>
      <c r="M177" s="28"/>
      <c r="N177" s="28"/>
      <c r="O177" s="28"/>
      <c r="P177" s="28"/>
      <c r="Q177" s="25">
        <v>2</v>
      </c>
      <c r="R177" s="28"/>
      <c r="S177" s="25">
        <v>2</v>
      </c>
      <c r="T177" s="28"/>
      <c r="U177" s="28"/>
      <c r="V177" s="28"/>
      <c r="W177" s="28"/>
      <c r="X177" s="28"/>
      <c r="Y177" s="25">
        <v>2</v>
      </c>
      <c r="Z177" s="28"/>
      <c r="AA177" s="28"/>
      <c r="AB177" s="28"/>
      <c r="AC177" s="28"/>
      <c r="AD177" s="25">
        <v>1</v>
      </c>
      <c r="AE177" s="28"/>
      <c r="AF177" s="28"/>
      <c r="AG177" s="28"/>
      <c r="AH177" s="28"/>
      <c r="AI177" s="28"/>
      <c r="AJ177" s="28"/>
      <c r="AK177" s="28"/>
      <c r="AL177" s="28"/>
      <c r="AM177" s="28"/>
      <c r="AN177" s="28"/>
      <c r="AO177" s="25">
        <v>6</v>
      </c>
      <c r="AP177" s="28"/>
      <c r="AQ177" t="s" s="27">
        <v>444</v>
      </c>
      <c r="AR177" s="28"/>
      <c r="AS177" s="28"/>
      <c r="AT177" s="25">
        <v>3</v>
      </c>
      <c r="AU177" s="28"/>
      <c r="AV177" s="28"/>
      <c r="AW177" s="28"/>
      <c r="AX177" s="28"/>
      <c r="AY177" s="28"/>
      <c r="AZ177" s="28"/>
      <c r="BA177" s="28"/>
      <c r="BB177" s="28"/>
      <c r="BC177" s="25">
        <v>4</v>
      </c>
      <c r="BD177" s="28"/>
      <c r="BE177" s="28"/>
    </row>
    <row r="178" ht="13.55" customHeight="1">
      <c r="A178" s="25">
        <v>6599727806</v>
      </c>
      <c r="B178" s="25">
        <v>167721399</v>
      </c>
      <c r="C178" s="26">
        <v>43091.608425925922</v>
      </c>
      <c r="D178" s="26">
        <v>43091.6090625</v>
      </c>
      <c r="E178" t="s" s="27">
        <v>445</v>
      </c>
      <c r="F178" s="28"/>
      <c r="G178" s="28"/>
      <c r="H178" s="28"/>
      <c r="I178" s="28"/>
      <c r="J178" s="28"/>
      <c r="K178" s="25">
        <v>2</v>
      </c>
      <c r="L178" s="28"/>
      <c r="M178" s="28"/>
      <c r="N178" s="28"/>
      <c r="O178" s="28"/>
      <c r="P178" s="25">
        <v>1</v>
      </c>
      <c r="Q178" s="28"/>
      <c r="R178" s="25">
        <v>1</v>
      </c>
      <c r="S178" s="28"/>
      <c r="T178" s="28"/>
      <c r="U178" s="28"/>
      <c r="V178" s="28"/>
      <c r="W178" s="28"/>
      <c r="X178" s="28"/>
      <c r="Y178" s="25">
        <v>2</v>
      </c>
      <c r="Z178" s="28"/>
      <c r="AA178" s="28"/>
      <c r="AB178" s="28"/>
      <c r="AC178" s="28"/>
      <c r="AD178" s="25">
        <v>1</v>
      </c>
      <c r="AE178" s="28"/>
      <c r="AF178" s="28"/>
      <c r="AG178" s="28"/>
      <c r="AH178" s="28"/>
      <c r="AI178" s="28"/>
      <c r="AJ178" s="25">
        <v>1</v>
      </c>
      <c r="AK178" s="28"/>
      <c r="AL178" s="28"/>
      <c r="AM178" s="28"/>
      <c r="AN178" s="28"/>
      <c r="AO178" s="25">
        <v>6</v>
      </c>
      <c r="AP178" s="28"/>
      <c r="AQ178" t="s" s="27">
        <v>446</v>
      </c>
      <c r="AR178" s="25">
        <v>1</v>
      </c>
      <c r="AS178" s="28"/>
      <c r="AT178" s="28"/>
      <c r="AU178" s="28"/>
      <c r="AV178" s="28"/>
      <c r="AW178" s="28"/>
      <c r="AX178" s="28"/>
      <c r="AY178" s="28"/>
      <c r="AZ178" s="28"/>
      <c r="BA178" s="28"/>
      <c r="BB178" s="25">
        <v>3</v>
      </c>
      <c r="BC178" s="28"/>
      <c r="BD178" s="28"/>
      <c r="BE178" s="28"/>
    </row>
    <row r="179" ht="13.55" customHeight="1">
      <c r="A179" s="25">
        <v>6599724135</v>
      </c>
      <c r="B179" s="25">
        <v>167721399</v>
      </c>
      <c r="C179" s="26">
        <v>43091.604791666658</v>
      </c>
      <c r="D179" s="26">
        <v>43091.606215277781</v>
      </c>
      <c r="E179" t="s" s="27">
        <v>447</v>
      </c>
      <c r="F179" s="28"/>
      <c r="G179" s="28"/>
      <c r="H179" s="28"/>
      <c r="I179" s="28"/>
      <c r="J179" s="28"/>
      <c r="K179" s="28"/>
      <c r="L179" s="28"/>
      <c r="M179" s="28"/>
      <c r="N179" s="25">
        <v>5</v>
      </c>
      <c r="O179" s="28"/>
      <c r="P179" s="25">
        <v>1</v>
      </c>
      <c r="Q179" s="28"/>
      <c r="R179" s="28"/>
      <c r="S179" s="28"/>
      <c r="T179" s="28"/>
      <c r="U179" s="28"/>
      <c r="V179" s="28"/>
      <c r="W179" s="25">
        <v>6</v>
      </c>
      <c r="X179" s="28"/>
      <c r="Y179" s="28"/>
      <c r="Z179" s="25">
        <v>3</v>
      </c>
      <c r="AA179" s="28"/>
      <c r="AB179" s="28"/>
      <c r="AC179" s="28"/>
      <c r="AD179" s="28"/>
      <c r="AE179" s="25">
        <v>2</v>
      </c>
      <c r="AF179" s="28"/>
      <c r="AG179" s="28"/>
      <c r="AH179" s="28"/>
      <c r="AI179" s="28"/>
      <c r="AJ179" s="25">
        <v>1</v>
      </c>
      <c r="AK179" s="28"/>
      <c r="AL179" s="28"/>
      <c r="AM179" s="28"/>
      <c r="AN179" s="28"/>
      <c r="AO179" s="28"/>
      <c r="AP179" s="28"/>
      <c r="AQ179" t="s" s="27">
        <v>448</v>
      </c>
      <c r="AR179" s="28"/>
      <c r="AS179" s="28"/>
      <c r="AT179" s="25">
        <v>3</v>
      </c>
      <c r="AU179" s="28"/>
      <c r="AV179" s="28"/>
      <c r="AW179" s="28"/>
      <c r="AX179" s="28"/>
      <c r="AY179" s="28"/>
      <c r="AZ179" s="28"/>
      <c r="BA179" s="28"/>
      <c r="BB179" s="25">
        <v>3</v>
      </c>
      <c r="BC179" s="28"/>
      <c r="BD179" s="28"/>
      <c r="BE179" s="28"/>
    </row>
    <row r="180" ht="13.55" customHeight="1">
      <c r="A180" s="25">
        <v>6599719434</v>
      </c>
      <c r="B180" s="25">
        <v>167721399</v>
      </c>
      <c r="C180" s="26">
        <v>43091.601400462961</v>
      </c>
      <c r="D180" s="26">
        <v>43091.602557870370</v>
      </c>
      <c r="E180" t="s" s="27">
        <v>449</v>
      </c>
      <c r="F180" s="28"/>
      <c r="G180" s="28"/>
      <c r="H180" s="28"/>
      <c r="I180" s="28"/>
      <c r="J180" s="28"/>
      <c r="K180" s="25">
        <v>2</v>
      </c>
      <c r="L180" s="28"/>
      <c r="M180" s="28"/>
      <c r="N180" s="28"/>
      <c r="O180" s="28"/>
      <c r="P180" s="25">
        <v>1</v>
      </c>
      <c r="Q180" s="28"/>
      <c r="R180" s="25">
        <v>1</v>
      </c>
      <c r="S180" s="28"/>
      <c r="T180" s="28"/>
      <c r="U180" s="28"/>
      <c r="V180" s="28"/>
      <c r="W180" s="28"/>
      <c r="X180" s="28"/>
      <c r="Y180" s="25">
        <v>2</v>
      </c>
      <c r="Z180" s="28"/>
      <c r="AA180" s="28"/>
      <c r="AB180" s="28"/>
      <c r="AC180" s="28"/>
      <c r="AD180" s="28"/>
      <c r="AE180" s="25">
        <v>2</v>
      </c>
      <c r="AF180" s="28"/>
      <c r="AG180" s="28"/>
      <c r="AH180" s="28"/>
      <c r="AI180" s="28"/>
      <c r="AJ180" s="25">
        <v>1</v>
      </c>
      <c r="AK180" s="28"/>
      <c r="AL180" s="28"/>
      <c r="AM180" s="28"/>
      <c r="AN180" s="28"/>
      <c r="AO180" s="28"/>
      <c r="AP180" s="28"/>
      <c r="AQ180" t="s" s="27">
        <v>450</v>
      </c>
      <c r="AR180" s="28"/>
      <c r="AS180" s="28"/>
      <c r="AT180" s="28"/>
      <c r="AU180" s="28"/>
      <c r="AV180" s="28"/>
      <c r="AW180" s="28"/>
      <c r="AX180" s="28"/>
      <c r="AY180" s="25">
        <v>8</v>
      </c>
      <c r="AZ180" s="28"/>
      <c r="BA180" s="28"/>
      <c r="BB180" s="25">
        <v>3</v>
      </c>
      <c r="BC180" s="28"/>
      <c r="BD180" s="28"/>
      <c r="BE180" s="28"/>
    </row>
    <row r="181" ht="13.55" customHeight="1">
      <c r="A181" s="25">
        <v>6599717881</v>
      </c>
      <c r="B181" s="25">
        <v>167721399</v>
      </c>
      <c r="C181" s="26">
        <v>43091.600763888891</v>
      </c>
      <c r="D181" s="26">
        <v>43091.601400462961</v>
      </c>
      <c r="E181" t="s" s="27">
        <v>451</v>
      </c>
      <c r="F181" s="28"/>
      <c r="G181" s="28"/>
      <c r="H181" s="28"/>
      <c r="I181" s="28"/>
      <c r="J181" s="28"/>
      <c r="K181" s="25">
        <v>2</v>
      </c>
      <c r="L181" s="28"/>
      <c r="M181" s="28"/>
      <c r="N181" s="28"/>
      <c r="O181" s="28"/>
      <c r="P181" s="25">
        <v>1</v>
      </c>
      <c r="Q181" s="28"/>
      <c r="R181" s="25">
        <v>1</v>
      </c>
      <c r="S181" s="28"/>
      <c r="T181" s="28"/>
      <c r="U181" s="28"/>
      <c r="V181" s="28"/>
      <c r="W181" s="28"/>
      <c r="X181" s="28"/>
      <c r="Y181" s="25">
        <v>2</v>
      </c>
      <c r="Z181" s="28"/>
      <c r="AA181" s="28"/>
      <c r="AB181" s="28"/>
      <c r="AC181" s="28"/>
      <c r="AD181" s="25">
        <v>1</v>
      </c>
      <c r="AE181" s="28"/>
      <c r="AF181" s="28"/>
      <c r="AG181" s="28"/>
      <c r="AH181" s="28"/>
      <c r="AI181" s="28"/>
      <c r="AJ181" s="25">
        <v>1</v>
      </c>
      <c r="AK181" s="28"/>
      <c r="AL181" s="28"/>
      <c r="AM181" s="28"/>
      <c r="AN181" s="28"/>
      <c r="AO181" s="28"/>
      <c r="AP181" s="28"/>
      <c r="AQ181" t="s" s="27">
        <v>452</v>
      </c>
      <c r="AR181" s="28"/>
      <c r="AS181" s="25">
        <v>2</v>
      </c>
      <c r="AT181" s="28"/>
      <c r="AU181" s="28"/>
      <c r="AV181" s="28"/>
      <c r="AW181" s="28"/>
      <c r="AX181" s="28"/>
      <c r="AY181" s="28"/>
      <c r="AZ181" s="28"/>
      <c r="BA181" s="28"/>
      <c r="BB181" s="25">
        <v>3</v>
      </c>
      <c r="BC181" s="28"/>
      <c r="BD181" s="28"/>
      <c r="BE181" s="28"/>
    </row>
    <row r="182" ht="13.55" customHeight="1">
      <c r="A182" s="25">
        <v>6599717141</v>
      </c>
      <c r="B182" s="25">
        <v>167721399</v>
      </c>
      <c r="C182" s="26">
        <v>43091.598553240743</v>
      </c>
      <c r="D182" s="26">
        <v>43091.600844907407</v>
      </c>
      <c r="E182" t="s" s="27">
        <v>453</v>
      </c>
      <c r="F182" s="28"/>
      <c r="G182" s="28"/>
      <c r="H182" s="28"/>
      <c r="I182" s="28"/>
      <c r="J182" s="28"/>
      <c r="K182" s="28"/>
      <c r="L182" s="25">
        <v>3</v>
      </c>
      <c r="M182" s="28"/>
      <c r="N182" s="28"/>
      <c r="O182" s="28"/>
      <c r="P182" s="25">
        <v>1</v>
      </c>
      <c r="Q182" s="28"/>
      <c r="R182" s="28"/>
      <c r="S182" s="25">
        <v>2</v>
      </c>
      <c r="T182" s="28"/>
      <c r="U182" s="28"/>
      <c r="V182" s="28"/>
      <c r="W182" s="28"/>
      <c r="X182" s="28"/>
      <c r="Y182" s="28"/>
      <c r="Z182" s="25">
        <v>3</v>
      </c>
      <c r="AA182" s="28"/>
      <c r="AB182" s="28"/>
      <c r="AC182" s="28"/>
      <c r="AD182" s="28"/>
      <c r="AE182" s="28"/>
      <c r="AF182" s="25">
        <v>3</v>
      </c>
      <c r="AG182" s="28"/>
      <c r="AH182" s="28"/>
      <c r="AI182" s="28"/>
      <c r="AJ182" s="25">
        <v>1</v>
      </c>
      <c r="AK182" s="25">
        <v>2</v>
      </c>
      <c r="AL182" s="28"/>
      <c r="AM182" s="28"/>
      <c r="AN182" s="28"/>
      <c r="AO182" s="28"/>
      <c r="AP182" s="28"/>
      <c r="AQ182" t="s" s="27">
        <v>454</v>
      </c>
      <c r="AR182" s="25">
        <v>1</v>
      </c>
      <c r="AS182" s="28"/>
      <c r="AT182" s="28"/>
      <c r="AU182" s="28"/>
      <c r="AV182" s="28"/>
      <c r="AW182" s="28"/>
      <c r="AX182" s="28"/>
      <c r="AY182" s="28"/>
      <c r="AZ182" s="28"/>
      <c r="BA182" s="28"/>
      <c r="BB182" s="28"/>
      <c r="BC182" s="25">
        <v>4</v>
      </c>
      <c r="BD182" s="28"/>
      <c r="BE182" s="28"/>
    </row>
    <row r="183" ht="13.55" customHeight="1">
      <c r="A183" s="25">
        <v>6599715428</v>
      </c>
      <c r="B183" s="25">
        <v>167721399</v>
      </c>
      <c r="C183" s="26">
        <v>43091.598622685182</v>
      </c>
      <c r="D183" s="26">
        <v>43091.599606481483</v>
      </c>
      <c r="E183" t="s" s="27">
        <v>455</v>
      </c>
      <c r="F183" s="28"/>
      <c r="G183" s="28"/>
      <c r="H183" s="28"/>
      <c r="I183" s="28"/>
      <c r="J183" s="28"/>
      <c r="K183" s="25">
        <v>2</v>
      </c>
      <c r="L183" s="28"/>
      <c r="M183" s="28"/>
      <c r="N183" s="28"/>
      <c r="O183" s="28"/>
      <c r="P183" s="25">
        <v>1</v>
      </c>
      <c r="Q183" s="28"/>
      <c r="R183" s="28"/>
      <c r="S183" s="28"/>
      <c r="T183" s="25">
        <v>3</v>
      </c>
      <c r="U183" s="28"/>
      <c r="V183" s="28"/>
      <c r="W183" s="28"/>
      <c r="X183" s="28"/>
      <c r="Y183" s="28"/>
      <c r="Z183" s="28"/>
      <c r="AA183" s="28"/>
      <c r="AB183" s="25">
        <v>5</v>
      </c>
      <c r="AC183" s="28"/>
      <c r="AD183" s="28"/>
      <c r="AE183" s="28"/>
      <c r="AF183" s="28"/>
      <c r="AG183" s="25">
        <v>4</v>
      </c>
      <c r="AH183" s="28"/>
      <c r="AI183" s="28"/>
      <c r="AJ183" s="28"/>
      <c r="AK183" s="28"/>
      <c r="AL183" s="28"/>
      <c r="AM183" s="28"/>
      <c r="AN183" s="28"/>
      <c r="AO183" s="25">
        <v>6</v>
      </c>
      <c r="AP183" s="28"/>
      <c r="AQ183" t="s" s="27">
        <v>456</v>
      </c>
      <c r="AR183" s="25">
        <v>1</v>
      </c>
      <c r="AS183" s="28"/>
      <c r="AT183" s="28"/>
      <c r="AU183" s="28"/>
      <c r="AV183" s="28"/>
      <c r="AW183" s="28"/>
      <c r="AX183" s="28"/>
      <c r="AY183" s="28"/>
      <c r="AZ183" s="28"/>
      <c r="BA183" s="28"/>
      <c r="BB183" s="25">
        <v>3</v>
      </c>
      <c r="BC183" s="28"/>
      <c r="BD183" s="28"/>
      <c r="BE183" s="28"/>
    </row>
    <row r="184" ht="13.55" customHeight="1">
      <c r="A184" s="25">
        <v>6599713793</v>
      </c>
      <c r="B184" s="25">
        <v>167721399</v>
      </c>
      <c r="C184" s="26">
        <v>43091.595821759263</v>
      </c>
      <c r="D184" s="26">
        <v>43091.5984375</v>
      </c>
      <c r="E184" t="s" s="27">
        <v>457</v>
      </c>
      <c r="F184" s="28"/>
      <c r="G184" s="28"/>
      <c r="H184" s="28"/>
      <c r="I184" s="28"/>
      <c r="J184" s="28"/>
      <c r="K184" s="28"/>
      <c r="L184" s="25">
        <v>3</v>
      </c>
      <c r="M184" s="28"/>
      <c r="N184" s="28"/>
      <c r="O184" s="28"/>
      <c r="P184" s="25">
        <v>1</v>
      </c>
      <c r="Q184" s="28"/>
      <c r="R184" s="28"/>
      <c r="S184" s="28"/>
      <c r="T184" s="28"/>
      <c r="U184" s="28"/>
      <c r="V184" s="25">
        <v>5</v>
      </c>
      <c r="W184" s="28"/>
      <c r="X184" s="28"/>
      <c r="Y184" s="28"/>
      <c r="Z184" s="28"/>
      <c r="AA184" s="28"/>
      <c r="AB184" s="25">
        <v>5</v>
      </c>
      <c r="AC184" s="28"/>
      <c r="AD184" s="28"/>
      <c r="AE184" s="28"/>
      <c r="AF184" s="28"/>
      <c r="AG184" s="28"/>
      <c r="AH184" s="25">
        <v>5</v>
      </c>
      <c r="AI184" s="28"/>
      <c r="AJ184" s="25">
        <v>1</v>
      </c>
      <c r="AK184" s="28"/>
      <c r="AL184" s="28"/>
      <c r="AM184" s="25">
        <v>4</v>
      </c>
      <c r="AN184" s="25">
        <v>5</v>
      </c>
      <c r="AO184" s="25">
        <v>6</v>
      </c>
      <c r="AP184" s="28"/>
      <c r="AQ184" t="s" s="27">
        <v>458</v>
      </c>
      <c r="AR184" s="28"/>
      <c r="AS184" s="28"/>
      <c r="AT184" s="28"/>
      <c r="AU184" s="28"/>
      <c r="AV184" s="28"/>
      <c r="AW184" s="28"/>
      <c r="AX184" s="28"/>
      <c r="AY184" s="25">
        <v>8</v>
      </c>
      <c r="AZ184" s="28"/>
      <c r="BA184" s="28"/>
      <c r="BB184" s="28"/>
      <c r="BC184" s="25">
        <v>4</v>
      </c>
      <c r="BD184" s="28"/>
      <c r="BE184" s="28"/>
    </row>
    <row r="185" ht="13.55" customHeight="1">
      <c r="A185" s="29">
        <v>6599705155</v>
      </c>
      <c r="B185" s="29">
        <v>167721399</v>
      </c>
      <c r="C185" s="30">
        <v>43091.591030092590</v>
      </c>
      <c r="D185" s="30">
        <v>43091.592337962960</v>
      </c>
      <c r="E185" t="s" s="31">
        <v>459</v>
      </c>
      <c r="F185" s="32"/>
      <c r="G185" s="32"/>
      <c r="H185" s="32"/>
      <c r="I185" s="32"/>
      <c r="J185" s="32"/>
      <c r="K185" s="29">
        <v>2</v>
      </c>
      <c r="L185" s="32"/>
      <c r="M185" s="32"/>
      <c r="N185" s="32"/>
      <c r="O185" s="32"/>
      <c r="P185" s="29">
        <v>1</v>
      </c>
      <c r="Q185" s="32"/>
      <c r="R185" s="32"/>
      <c r="S185" s="29">
        <v>2</v>
      </c>
      <c r="T185" s="32"/>
      <c r="U185" s="32"/>
      <c r="V185" s="32"/>
      <c r="W185" s="32"/>
      <c r="X185" s="32"/>
      <c r="Y185" s="32"/>
      <c r="Z185" s="29">
        <v>3</v>
      </c>
      <c r="AA185" s="32"/>
      <c r="AB185" s="32"/>
      <c r="AC185" s="32"/>
      <c r="AD185" s="32"/>
      <c r="AE185" s="29">
        <v>2</v>
      </c>
      <c r="AF185" s="32"/>
      <c r="AG185" s="32"/>
      <c r="AH185" s="32"/>
      <c r="AI185" s="32"/>
      <c r="AJ185" s="29">
        <v>1</v>
      </c>
      <c r="AK185" s="29">
        <v>2</v>
      </c>
      <c r="AL185" s="32"/>
      <c r="AM185" s="32"/>
      <c r="AN185" s="32"/>
      <c r="AO185" s="32"/>
      <c r="AP185" s="32"/>
      <c r="AQ185" t="s" s="31">
        <v>460</v>
      </c>
      <c r="AR185" s="32"/>
      <c r="AS185" s="32"/>
      <c r="AT185" s="32"/>
      <c r="AU185" s="32"/>
      <c r="AV185" s="32"/>
      <c r="AW185" s="32"/>
      <c r="AX185" s="32"/>
      <c r="AY185" s="29">
        <v>8</v>
      </c>
      <c r="AZ185" s="32"/>
      <c r="BA185" s="32"/>
      <c r="BB185" s="32"/>
      <c r="BC185" s="29">
        <v>4</v>
      </c>
      <c r="BD185" s="32"/>
      <c r="BE185" s="32"/>
    </row>
    <row r="186" ht="15" customHeight="1">
      <c r="A186" s="15">
        <v>6599702435</v>
      </c>
      <c r="B186" s="16">
        <v>167721399</v>
      </c>
      <c r="C186" s="17">
        <v>43091.588287037041</v>
      </c>
      <c r="D186" s="17">
        <v>43091.590451388889</v>
      </c>
      <c r="E186" t="s" s="18">
        <v>461</v>
      </c>
      <c r="F186" s="19"/>
      <c r="G186" s="19"/>
      <c r="H186" s="19"/>
      <c r="I186" s="19"/>
      <c r="J186" s="19"/>
      <c r="K186" s="19"/>
      <c r="L186" s="16">
        <v>3</v>
      </c>
      <c r="M186" s="19"/>
      <c r="N186" s="19"/>
      <c r="O186" s="19"/>
      <c r="P186" s="19"/>
      <c r="Q186" s="16">
        <v>2</v>
      </c>
      <c r="R186" s="19"/>
      <c r="S186" s="16">
        <v>2</v>
      </c>
      <c r="T186" s="19"/>
      <c r="U186" s="19"/>
      <c r="V186" s="19"/>
      <c r="W186" s="19"/>
      <c r="X186" s="19"/>
      <c r="Y186" s="19"/>
      <c r="Z186" s="16">
        <v>3</v>
      </c>
      <c r="AA186" s="19"/>
      <c r="AB186" s="19"/>
      <c r="AC186" s="19"/>
      <c r="AD186" s="19"/>
      <c r="AE186" s="16">
        <v>2</v>
      </c>
      <c r="AF186" s="19"/>
      <c r="AG186" s="19"/>
      <c r="AH186" s="19"/>
      <c r="AI186" s="19"/>
      <c r="AJ186" s="19"/>
      <c r="AK186" s="19"/>
      <c r="AL186" s="19"/>
      <c r="AM186" s="19"/>
      <c r="AN186" s="19"/>
      <c r="AO186" s="16">
        <v>6</v>
      </c>
      <c r="AP186" s="19"/>
      <c r="AQ186" t="s" s="18">
        <v>462</v>
      </c>
      <c r="AR186" s="19"/>
      <c r="AS186" s="19"/>
      <c r="AT186" s="19"/>
      <c r="AU186" s="16">
        <v>4</v>
      </c>
      <c r="AV186" s="19"/>
      <c r="AW186" s="19"/>
      <c r="AX186" s="19"/>
      <c r="AY186" s="19"/>
      <c r="AZ186" s="16">
        <v>1</v>
      </c>
      <c r="BA186" s="19"/>
      <c r="BB186" s="19"/>
      <c r="BC186" s="19"/>
      <c r="BD186" s="19"/>
      <c r="BE186" t="s" s="20">
        <v>463</v>
      </c>
    </row>
    <row r="187" ht="13.55" customHeight="1">
      <c r="A187" s="21">
        <v>6599701039</v>
      </c>
      <c r="B187" s="21">
        <v>167721399</v>
      </c>
      <c r="C187" s="22">
        <v>43091.588645833333</v>
      </c>
      <c r="D187" s="22">
        <v>43091.589490740742</v>
      </c>
      <c r="E187" t="s" s="23">
        <v>464</v>
      </c>
      <c r="F187" s="24"/>
      <c r="G187" s="24"/>
      <c r="H187" s="24"/>
      <c r="I187" s="24"/>
      <c r="J187" s="24"/>
      <c r="K187" s="21">
        <v>2</v>
      </c>
      <c r="L187" s="24"/>
      <c r="M187" s="24"/>
      <c r="N187" s="24"/>
      <c r="O187" s="24"/>
      <c r="P187" s="24"/>
      <c r="Q187" s="21">
        <v>2</v>
      </c>
      <c r="R187" s="24"/>
      <c r="S187" s="21">
        <v>2</v>
      </c>
      <c r="T187" s="24"/>
      <c r="U187" s="24"/>
      <c r="V187" s="24"/>
      <c r="W187" s="24"/>
      <c r="X187" s="24"/>
      <c r="Y187" s="21">
        <v>2</v>
      </c>
      <c r="Z187" s="24"/>
      <c r="AA187" s="24"/>
      <c r="AB187" s="24"/>
      <c r="AC187" s="24"/>
      <c r="AD187" s="21">
        <v>1</v>
      </c>
      <c r="AE187" s="24"/>
      <c r="AF187" s="24"/>
      <c r="AG187" s="24"/>
      <c r="AH187" s="24"/>
      <c r="AI187" s="24"/>
      <c r="AJ187" s="21">
        <v>1</v>
      </c>
      <c r="AK187" s="21">
        <v>2</v>
      </c>
      <c r="AL187" s="24"/>
      <c r="AM187" s="24"/>
      <c r="AN187" s="24"/>
      <c r="AO187" s="24"/>
      <c r="AP187" s="21">
        <v>7</v>
      </c>
      <c r="AQ187" t="s" s="23">
        <v>465</v>
      </c>
      <c r="AR187" s="24"/>
      <c r="AS187" s="24"/>
      <c r="AT187" s="21">
        <v>3</v>
      </c>
      <c r="AU187" s="24"/>
      <c r="AV187" s="24"/>
      <c r="AW187" s="24"/>
      <c r="AX187" s="24"/>
      <c r="AY187" s="24"/>
      <c r="AZ187" s="24"/>
      <c r="BA187" s="24"/>
      <c r="BB187" s="21">
        <v>3</v>
      </c>
      <c r="BC187" s="24"/>
      <c r="BD187" s="24"/>
      <c r="BE187" s="24"/>
    </row>
    <row r="188" ht="13.55" customHeight="1">
      <c r="A188" s="25">
        <v>6599701030</v>
      </c>
      <c r="B188" s="25">
        <v>167721399</v>
      </c>
      <c r="C188" s="26">
        <v>43091.588553240741</v>
      </c>
      <c r="D188" s="26">
        <v>43091.589490740742</v>
      </c>
      <c r="E188" t="s" s="27">
        <v>466</v>
      </c>
      <c r="F188" s="28"/>
      <c r="G188" s="28"/>
      <c r="H188" s="28"/>
      <c r="I188" s="28"/>
      <c r="J188" s="28"/>
      <c r="K188" s="25">
        <v>2</v>
      </c>
      <c r="L188" s="28"/>
      <c r="M188" s="28"/>
      <c r="N188" s="28"/>
      <c r="O188" s="28"/>
      <c r="P188" s="25">
        <v>1</v>
      </c>
      <c r="Q188" s="28"/>
      <c r="R188" s="28"/>
      <c r="S188" s="28"/>
      <c r="T188" s="28"/>
      <c r="U188" s="25">
        <v>4</v>
      </c>
      <c r="V188" s="28"/>
      <c r="W188" s="28"/>
      <c r="X188" s="28"/>
      <c r="Y188" s="28"/>
      <c r="Z188" s="25">
        <v>3</v>
      </c>
      <c r="AA188" s="28"/>
      <c r="AB188" s="28"/>
      <c r="AC188" s="28"/>
      <c r="AD188" s="28"/>
      <c r="AE188" s="28"/>
      <c r="AF188" s="25">
        <v>3</v>
      </c>
      <c r="AG188" s="28"/>
      <c r="AH188" s="28"/>
      <c r="AI188" s="28"/>
      <c r="AJ188" s="25">
        <v>1</v>
      </c>
      <c r="AK188" s="28"/>
      <c r="AL188" s="25">
        <v>3</v>
      </c>
      <c r="AM188" s="25">
        <v>4</v>
      </c>
      <c r="AN188" s="25">
        <v>5</v>
      </c>
      <c r="AO188" s="28"/>
      <c r="AP188" s="28"/>
      <c r="AQ188" t="s" s="27">
        <v>467</v>
      </c>
      <c r="AR188" s="28"/>
      <c r="AS188" s="28"/>
      <c r="AT188" s="28"/>
      <c r="AU188" s="25">
        <v>4</v>
      </c>
      <c r="AV188" s="28"/>
      <c r="AW188" s="28"/>
      <c r="AX188" s="28"/>
      <c r="AY188" s="28"/>
      <c r="AZ188" s="28"/>
      <c r="BA188" s="28"/>
      <c r="BB188" s="25">
        <v>3</v>
      </c>
      <c r="BC188" s="28"/>
      <c r="BD188" s="28"/>
      <c r="BE188" s="28"/>
    </row>
    <row r="189" ht="13.55" customHeight="1">
      <c r="A189" s="25">
        <v>6599700879</v>
      </c>
      <c r="B189" s="25">
        <v>167721399</v>
      </c>
      <c r="C189" s="26">
        <v>43091.588055555563</v>
      </c>
      <c r="D189" s="26">
        <v>43091.589375</v>
      </c>
      <c r="E189" t="s" s="27">
        <v>468</v>
      </c>
      <c r="F189" s="28"/>
      <c r="G189" s="28"/>
      <c r="H189" s="28"/>
      <c r="I189" s="28"/>
      <c r="J189" s="28"/>
      <c r="K189" s="25">
        <v>2</v>
      </c>
      <c r="L189" s="28"/>
      <c r="M189" s="28"/>
      <c r="N189" s="28"/>
      <c r="O189" s="28"/>
      <c r="P189" s="25">
        <v>1</v>
      </c>
      <c r="Q189" s="28"/>
      <c r="R189" s="25">
        <v>1</v>
      </c>
      <c r="S189" s="28"/>
      <c r="T189" s="28"/>
      <c r="U189" s="28"/>
      <c r="V189" s="28"/>
      <c r="W189" s="28"/>
      <c r="X189" s="28"/>
      <c r="Y189" s="28"/>
      <c r="Z189" s="25">
        <v>3</v>
      </c>
      <c r="AA189" s="28"/>
      <c r="AB189" s="28"/>
      <c r="AC189" s="28"/>
      <c r="AD189" s="28"/>
      <c r="AE189" s="25">
        <v>2</v>
      </c>
      <c r="AF189" s="28"/>
      <c r="AG189" s="28"/>
      <c r="AH189" s="28"/>
      <c r="AI189" s="28"/>
      <c r="AJ189" s="25">
        <v>1</v>
      </c>
      <c r="AK189" s="25">
        <v>2</v>
      </c>
      <c r="AL189" s="28"/>
      <c r="AM189" s="28"/>
      <c r="AN189" s="25">
        <v>5</v>
      </c>
      <c r="AO189" s="28"/>
      <c r="AP189" s="28"/>
      <c r="AQ189" t="s" s="27">
        <v>469</v>
      </c>
      <c r="AR189" s="28"/>
      <c r="AS189" s="25">
        <v>2</v>
      </c>
      <c r="AT189" s="28"/>
      <c r="AU189" s="28"/>
      <c r="AV189" s="28"/>
      <c r="AW189" s="28"/>
      <c r="AX189" s="28"/>
      <c r="AY189" s="28"/>
      <c r="AZ189" s="28"/>
      <c r="BA189" s="28"/>
      <c r="BB189" s="25">
        <v>3</v>
      </c>
      <c r="BC189" s="28"/>
      <c r="BD189" s="28"/>
      <c r="BE189" s="28"/>
    </row>
    <row r="190" ht="13.55" customHeight="1">
      <c r="A190" s="25">
        <v>6599697991</v>
      </c>
      <c r="B190" s="25">
        <v>167721399</v>
      </c>
      <c r="C190" s="26">
        <v>43091.585173611107</v>
      </c>
      <c r="D190" s="26">
        <v>43091.587280092594</v>
      </c>
      <c r="E190" t="s" s="27">
        <v>470</v>
      </c>
      <c r="F190" s="28"/>
      <c r="G190" s="28"/>
      <c r="H190" s="28"/>
      <c r="I190" s="28"/>
      <c r="J190" s="28"/>
      <c r="K190" s="28"/>
      <c r="L190" s="25">
        <v>3</v>
      </c>
      <c r="M190" s="28"/>
      <c r="N190" s="28"/>
      <c r="O190" s="28"/>
      <c r="P190" s="25">
        <v>1</v>
      </c>
      <c r="Q190" s="28"/>
      <c r="R190" s="28"/>
      <c r="S190" s="28"/>
      <c r="T190" s="28"/>
      <c r="U190" s="28"/>
      <c r="V190" s="28"/>
      <c r="W190" s="28"/>
      <c r="X190" s="28"/>
      <c r="Y190" s="28"/>
      <c r="Z190" s="28"/>
      <c r="AA190" s="25">
        <v>4</v>
      </c>
      <c r="AB190" s="28"/>
      <c r="AC190" s="28"/>
      <c r="AD190" s="28"/>
      <c r="AE190" s="28"/>
      <c r="AF190" s="25">
        <v>3</v>
      </c>
      <c r="AG190" s="28"/>
      <c r="AH190" s="28"/>
      <c r="AI190" s="28"/>
      <c r="AJ190" s="25">
        <v>1</v>
      </c>
      <c r="AK190" s="28"/>
      <c r="AL190" s="28"/>
      <c r="AM190" s="28"/>
      <c r="AN190" s="28"/>
      <c r="AO190" s="28"/>
      <c r="AP190" s="28"/>
      <c r="AQ190" t="s" s="27">
        <v>471</v>
      </c>
      <c r="AR190" s="28"/>
      <c r="AS190" s="28"/>
      <c r="AT190" s="25">
        <v>3</v>
      </c>
      <c r="AU190" s="28"/>
      <c r="AV190" s="28"/>
      <c r="AW190" s="28"/>
      <c r="AX190" s="28"/>
      <c r="AY190" s="28"/>
      <c r="AZ190" s="28"/>
      <c r="BA190" s="28"/>
      <c r="BB190" s="25">
        <v>3</v>
      </c>
      <c r="BC190" s="28"/>
      <c r="BD190" s="28"/>
      <c r="BE190" s="28"/>
    </row>
    <row r="191" ht="13.55" customHeight="1">
      <c r="A191" s="29">
        <v>6599696616</v>
      </c>
      <c r="B191" s="29">
        <v>167721399</v>
      </c>
      <c r="C191" s="30">
        <v>43091.585601851853</v>
      </c>
      <c r="D191" s="30">
        <v>43091.586307870370</v>
      </c>
      <c r="E191" t="s" s="31">
        <v>472</v>
      </c>
      <c r="F191" s="32"/>
      <c r="G191" s="32"/>
      <c r="H191" s="32"/>
      <c r="I191" s="32"/>
      <c r="J191" s="32"/>
      <c r="K191" s="29">
        <v>2</v>
      </c>
      <c r="L191" s="32"/>
      <c r="M191" s="32"/>
      <c r="N191" s="32"/>
      <c r="O191" s="32"/>
      <c r="P191" s="29">
        <v>1</v>
      </c>
      <c r="Q191" s="32"/>
      <c r="R191" s="32"/>
      <c r="S191" s="29">
        <v>2</v>
      </c>
      <c r="T191" s="32"/>
      <c r="U191" s="32"/>
      <c r="V191" s="32"/>
      <c r="W191" s="32"/>
      <c r="X191" s="32"/>
      <c r="Y191" s="32"/>
      <c r="Z191" s="29">
        <v>3</v>
      </c>
      <c r="AA191" s="32"/>
      <c r="AB191" s="32"/>
      <c r="AC191" s="32"/>
      <c r="AD191" s="32"/>
      <c r="AE191" s="29">
        <v>2</v>
      </c>
      <c r="AF191" s="32"/>
      <c r="AG191" s="32"/>
      <c r="AH191" s="32"/>
      <c r="AI191" s="32"/>
      <c r="AJ191" s="29">
        <v>1</v>
      </c>
      <c r="AK191" s="32"/>
      <c r="AL191" s="32"/>
      <c r="AM191" s="32"/>
      <c r="AN191" s="32"/>
      <c r="AO191" s="32"/>
      <c r="AP191" s="32"/>
      <c r="AQ191" t="s" s="31">
        <v>473</v>
      </c>
      <c r="AR191" s="32"/>
      <c r="AS191" s="32"/>
      <c r="AT191" s="32"/>
      <c r="AU191" s="32"/>
      <c r="AV191" s="29">
        <v>5</v>
      </c>
      <c r="AW191" s="32"/>
      <c r="AX191" s="32"/>
      <c r="AY191" s="32"/>
      <c r="AZ191" s="32"/>
      <c r="BA191" s="32"/>
      <c r="BB191" s="29">
        <v>3</v>
      </c>
      <c r="BC191" s="32"/>
      <c r="BD191" s="32"/>
      <c r="BE191" s="32"/>
    </row>
    <row r="192" ht="15" customHeight="1">
      <c r="A192" s="15">
        <v>6599696090</v>
      </c>
      <c r="B192" s="16">
        <v>167721399</v>
      </c>
      <c r="C192" s="17">
        <v>43091.584548611107</v>
      </c>
      <c r="D192" s="17">
        <v>43091.5859375</v>
      </c>
      <c r="E192" t="s" s="18">
        <v>474</v>
      </c>
      <c r="F192" s="19"/>
      <c r="G192" s="19"/>
      <c r="H192" s="19"/>
      <c r="I192" s="19"/>
      <c r="J192" s="19"/>
      <c r="K192" s="19"/>
      <c r="L192" s="16">
        <v>3</v>
      </c>
      <c r="M192" s="19"/>
      <c r="N192" s="19"/>
      <c r="O192" s="19"/>
      <c r="P192" s="16">
        <v>1</v>
      </c>
      <c r="Q192" s="19"/>
      <c r="R192" s="19"/>
      <c r="S192" s="19"/>
      <c r="T192" s="19"/>
      <c r="U192" s="16">
        <v>4</v>
      </c>
      <c r="V192" s="19"/>
      <c r="W192" s="19"/>
      <c r="X192" s="19"/>
      <c r="Y192" s="19"/>
      <c r="Z192" s="16">
        <v>3</v>
      </c>
      <c r="AA192" s="19"/>
      <c r="AB192" s="19"/>
      <c r="AC192" s="19"/>
      <c r="AD192" s="19"/>
      <c r="AE192" s="16">
        <v>2</v>
      </c>
      <c r="AF192" s="19"/>
      <c r="AG192" s="19"/>
      <c r="AH192" s="19"/>
      <c r="AI192" s="19"/>
      <c r="AJ192" s="16">
        <v>1</v>
      </c>
      <c r="AK192" s="19"/>
      <c r="AL192" s="19"/>
      <c r="AM192" s="19"/>
      <c r="AN192" s="16">
        <v>5</v>
      </c>
      <c r="AO192" s="16">
        <v>6</v>
      </c>
      <c r="AP192" s="19"/>
      <c r="AQ192" t="s" s="18">
        <v>475</v>
      </c>
      <c r="AR192" s="19"/>
      <c r="AS192" s="19"/>
      <c r="AT192" s="19"/>
      <c r="AU192" s="16">
        <v>4</v>
      </c>
      <c r="AV192" s="19"/>
      <c r="AW192" s="19"/>
      <c r="AX192" s="19"/>
      <c r="AY192" s="19"/>
      <c r="AZ192" s="16">
        <v>1</v>
      </c>
      <c r="BA192" s="19"/>
      <c r="BB192" s="19"/>
      <c r="BC192" s="19"/>
      <c r="BD192" s="19"/>
      <c r="BE192" s="37"/>
    </row>
    <row r="193" ht="13.55" customHeight="1">
      <c r="A193" s="21">
        <v>6599694658</v>
      </c>
      <c r="B193" s="21">
        <v>167721399</v>
      </c>
      <c r="C193" s="22">
        <v>43091.584328703713</v>
      </c>
      <c r="D193" s="22">
        <v>43091.584942129630</v>
      </c>
      <c r="E193" t="s" s="23">
        <v>476</v>
      </c>
      <c r="F193" s="24"/>
      <c r="G193" s="24"/>
      <c r="H193" s="24"/>
      <c r="I193" s="24"/>
      <c r="J193" s="24"/>
      <c r="K193" s="21">
        <v>2</v>
      </c>
      <c r="L193" s="24"/>
      <c r="M193" s="24"/>
      <c r="N193" s="24"/>
      <c r="O193" s="24"/>
      <c r="P193" s="24"/>
      <c r="Q193" s="21">
        <v>2</v>
      </c>
      <c r="R193" s="21">
        <v>1</v>
      </c>
      <c r="S193" s="24"/>
      <c r="T193" s="24"/>
      <c r="U193" s="24"/>
      <c r="V193" s="24"/>
      <c r="W193" s="24"/>
      <c r="X193" s="24"/>
      <c r="Y193" s="24"/>
      <c r="Z193" s="21">
        <v>3</v>
      </c>
      <c r="AA193" s="24"/>
      <c r="AB193" s="24"/>
      <c r="AC193" s="24"/>
      <c r="AD193" s="21">
        <v>1</v>
      </c>
      <c r="AE193" s="24"/>
      <c r="AF193" s="24"/>
      <c r="AG193" s="24"/>
      <c r="AH193" s="24"/>
      <c r="AI193" s="24"/>
      <c r="AJ193" s="24"/>
      <c r="AK193" s="24"/>
      <c r="AL193" s="24"/>
      <c r="AM193" s="24"/>
      <c r="AN193" s="24"/>
      <c r="AO193" s="21">
        <v>6</v>
      </c>
      <c r="AP193" s="24"/>
      <c r="AQ193" t="s" s="23">
        <v>477</v>
      </c>
      <c r="AR193" s="24"/>
      <c r="AS193" s="24"/>
      <c r="AT193" s="24"/>
      <c r="AU193" s="24"/>
      <c r="AV193" s="24"/>
      <c r="AW193" s="24"/>
      <c r="AX193" s="24"/>
      <c r="AY193" s="21">
        <v>8</v>
      </c>
      <c r="AZ193" s="24"/>
      <c r="BA193" s="24"/>
      <c r="BB193" s="24"/>
      <c r="BC193" s="21">
        <v>4</v>
      </c>
      <c r="BD193" s="24"/>
      <c r="BE193" s="24"/>
    </row>
    <row r="194" ht="13.55" customHeight="1">
      <c r="A194" s="25">
        <v>6599689525</v>
      </c>
      <c r="B194" s="25">
        <v>167721399</v>
      </c>
      <c r="C194" s="26">
        <v>43091.580081018517</v>
      </c>
      <c r="D194" s="26">
        <v>43091.581527777780</v>
      </c>
      <c r="E194" t="s" s="27">
        <v>478</v>
      </c>
      <c r="F194" s="28"/>
      <c r="G194" s="28"/>
      <c r="H194" s="28"/>
      <c r="I194" s="28"/>
      <c r="J194" s="28"/>
      <c r="K194" s="28"/>
      <c r="L194" s="25">
        <v>3</v>
      </c>
      <c r="M194" s="28"/>
      <c r="N194" s="28"/>
      <c r="O194" s="28"/>
      <c r="P194" s="25">
        <v>1</v>
      </c>
      <c r="Q194" s="28"/>
      <c r="R194" s="28"/>
      <c r="S194" s="28"/>
      <c r="T194" s="25">
        <v>3</v>
      </c>
      <c r="U194" s="28"/>
      <c r="V194" s="28"/>
      <c r="W194" s="28"/>
      <c r="X194" s="28"/>
      <c r="Y194" s="28"/>
      <c r="Z194" s="25">
        <v>3</v>
      </c>
      <c r="AA194" s="28"/>
      <c r="AB194" s="28"/>
      <c r="AC194" s="28"/>
      <c r="AD194" s="28"/>
      <c r="AE194" s="28"/>
      <c r="AF194" s="25">
        <v>3</v>
      </c>
      <c r="AG194" s="28"/>
      <c r="AH194" s="28"/>
      <c r="AI194" s="28"/>
      <c r="AJ194" s="25">
        <v>1</v>
      </c>
      <c r="AK194" s="28"/>
      <c r="AL194" s="28"/>
      <c r="AM194" s="28"/>
      <c r="AN194" s="28"/>
      <c r="AO194" s="28"/>
      <c r="AP194" s="28"/>
      <c r="AQ194" t="s" s="27">
        <v>479</v>
      </c>
      <c r="AR194" s="28"/>
      <c r="AS194" s="28"/>
      <c r="AT194" s="25">
        <v>3</v>
      </c>
      <c r="AU194" s="28"/>
      <c r="AV194" s="28"/>
      <c r="AW194" s="28"/>
      <c r="AX194" s="28"/>
      <c r="AY194" s="28"/>
      <c r="AZ194" s="28"/>
      <c r="BA194" s="28"/>
      <c r="BB194" s="25">
        <v>3</v>
      </c>
      <c r="BC194" s="28"/>
      <c r="BD194" s="28"/>
      <c r="BE194" s="28"/>
    </row>
    <row r="195" ht="13.55" customHeight="1">
      <c r="A195" s="29">
        <v>6599688518</v>
      </c>
      <c r="B195" s="29">
        <v>167721399</v>
      </c>
      <c r="C195" s="30">
        <v>43091.579120370370</v>
      </c>
      <c r="D195" s="30">
        <v>43091.580868055556</v>
      </c>
      <c r="E195" t="s" s="31">
        <v>480</v>
      </c>
      <c r="F195" s="32"/>
      <c r="G195" s="32"/>
      <c r="H195" s="32"/>
      <c r="I195" s="32"/>
      <c r="J195" s="32"/>
      <c r="K195" s="32"/>
      <c r="L195" s="29">
        <v>3</v>
      </c>
      <c r="M195" s="32"/>
      <c r="N195" s="32"/>
      <c r="O195" s="32"/>
      <c r="P195" s="29">
        <v>1</v>
      </c>
      <c r="Q195" s="32"/>
      <c r="R195" s="32"/>
      <c r="S195" s="32"/>
      <c r="T195" s="32"/>
      <c r="U195" s="32"/>
      <c r="V195" s="29">
        <v>5</v>
      </c>
      <c r="W195" s="32"/>
      <c r="X195" s="32"/>
      <c r="Y195" s="29">
        <v>2</v>
      </c>
      <c r="Z195" s="32"/>
      <c r="AA195" s="32"/>
      <c r="AB195" s="32"/>
      <c r="AC195" s="32"/>
      <c r="AD195" s="32"/>
      <c r="AE195" s="29">
        <v>2</v>
      </c>
      <c r="AF195" s="32"/>
      <c r="AG195" s="32"/>
      <c r="AH195" s="32"/>
      <c r="AI195" s="32"/>
      <c r="AJ195" s="29">
        <v>1</v>
      </c>
      <c r="AK195" s="29">
        <v>2</v>
      </c>
      <c r="AL195" s="32"/>
      <c r="AM195" s="32"/>
      <c r="AN195" s="29">
        <v>5</v>
      </c>
      <c r="AO195" s="29">
        <v>6</v>
      </c>
      <c r="AP195" s="29">
        <v>7</v>
      </c>
      <c r="AQ195" t="s" s="31">
        <v>481</v>
      </c>
      <c r="AR195" s="32"/>
      <c r="AS195" s="32"/>
      <c r="AT195" s="32"/>
      <c r="AU195" s="32"/>
      <c r="AV195" s="32"/>
      <c r="AW195" s="32"/>
      <c r="AX195" s="32"/>
      <c r="AY195" s="29">
        <v>8</v>
      </c>
      <c r="AZ195" s="32"/>
      <c r="BA195" s="32"/>
      <c r="BB195" s="32"/>
      <c r="BC195" s="29">
        <v>4</v>
      </c>
      <c r="BD195" s="32"/>
      <c r="BE195" s="32"/>
    </row>
    <row r="196" ht="15" customHeight="1">
      <c r="A196" s="15">
        <v>6599688115</v>
      </c>
      <c r="B196" s="16">
        <v>167721399</v>
      </c>
      <c r="C196" s="17">
        <v>43091.577824074076</v>
      </c>
      <c r="D196" s="17">
        <v>43091.580590277779</v>
      </c>
      <c r="E196" t="s" s="18">
        <v>482</v>
      </c>
      <c r="F196" s="19"/>
      <c r="G196" s="19"/>
      <c r="H196" s="19"/>
      <c r="I196" s="19"/>
      <c r="J196" s="19"/>
      <c r="K196" s="19"/>
      <c r="L196" s="16">
        <v>3</v>
      </c>
      <c r="M196" s="19"/>
      <c r="N196" s="19"/>
      <c r="O196" s="19"/>
      <c r="P196" s="16">
        <v>1</v>
      </c>
      <c r="Q196" s="19"/>
      <c r="R196" s="19"/>
      <c r="S196" s="19"/>
      <c r="T196" s="19"/>
      <c r="U196" s="19"/>
      <c r="V196" s="16">
        <v>5</v>
      </c>
      <c r="W196" s="19"/>
      <c r="X196" s="19"/>
      <c r="Y196" s="19"/>
      <c r="Z196" s="16">
        <v>3</v>
      </c>
      <c r="AA196" s="19"/>
      <c r="AB196" s="19"/>
      <c r="AC196" s="19"/>
      <c r="AD196" s="19"/>
      <c r="AE196" s="16">
        <v>2</v>
      </c>
      <c r="AF196" s="19"/>
      <c r="AG196" s="19"/>
      <c r="AH196" s="19"/>
      <c r="AI196" s="19"/>
      <c r="AJ196" s="16">
        <v>1</v>
      </c>
      <c r="AK196" s="16">
        <v>2</v>
      </c>
      <c r="AL196" s="16">
        <v>3</v>
      </c>
      <c r="AM196" s="16">
        <v>4</v>
      </c>
      <c r="AN196" s="16">
        <v>5</v>
      </c>
      <c r="AO196" s="16">
        <v>6</v>
      </c>
      <c r="AP196" s="19"/>
      <c r="AQ196" t="s" s="18">
        <v>483</v>
      </c>
      <c r="AR196" s="19"/>
      <c r="AS196" s="16">
        <v>2</v>
      </c>
      <c r="AT196" s="19"/>
      <c r="AU196" s="19"/>
      <c r="AV196" s="19"/>
      <c r="AW196" s="19"/>
      <c r="AX196" s="19"/>
      <c r="AY196" s="19"/>
      <c r="AZ196" s="16">
        <v>1</v>
      </c>
      <c r="BA196" s="19"/>
      <c r="BB196" s="19"/>
      <c r="BC196" s="19"/>
      <c r="BD196" s="19"/>
      <c r="BE196" t="s" s="20">
        <v>484</v>
      </c>
    </row>
    <row r="197" ht="13.55" customHeight="1">
      <c r="A197" s="21">
        <v>6599686707</v>
      </c>
      <c r="B197" s="21">
        <v>167721399</v>
      </c>
      <c r="C197" s="22">
        <v>43091.577569444453</v>
      </c>
      <c r="D197" s="22">
        <v>43091.579699074071</v>
      </c>
      <c r="E197" t="s" s="23">
        <v>485</v>
      </c>
      <c r="F197" s="24"/>
      <c r="G197" s="24"/>
      <c r="H197" s="24"/>
      <c r="I197" s="24"/>
      <c r="J197" s="24"/>
      <c r="K197" s="24"/>
      <c r="L197" s="21">
        <v>3</v>
      </c>
      <c r="M197" s="24"/>
      <c r="N197" s="24"/>
      <c r="O197" s="24"/>
      <c r="P197" s="21">
        <v>1</v>
      </c>
      <c r="Q197" s="24"/>
      <c r="R197" s="24"/>
      <c r="S197" s="24"/>
      <c r="T197" s="24"/>
      <c r="U197" s="24"/>
      <c r="V197" s="24"/>
      <c r="W197" s="21">
        <v>6</v>
      </c>
      <c r="X197" s="24"/>
      <c r="Y197" s="24"/>
      <c r="Z197" s="24"/>
      <c r="AA197" s="21">
        <v>4</v>
      </c>
      <c r="AB197" s="24"/>
      <c r="AC197" s="24"/>
      <c r="AD197" s="24"/>
      <c r="AE197" s="24"/>
      <c r="AF197" s="24"/>
      <c r="AG197" s="21">
        <v>4</v>
      </c>
      <c r="AH197" s="24"/>
      <c r="AI197" s="24"/>
      <c r="AJ197" s="21">
        <v>1</v>
      </c>
      <c r="AK197" s="21">
        <v>2</v>
      </c>
      <c r="AL197" s="24"/>
      <c r="AM197" s="24"/>
      <c r="AN197" s="24"/>
      <c r="AO197" s="24"/>
      <c r="AP197" s="21">
        <v>7</v>
      </c>
      <c r="AQ197" t="s" s="23">
        <v>486</v>
      </c>
      <c r="AR197" s="24"/>
      <c r="AS197" s="24"/>
      <c r="AT197" s="21">
        <v>3</v>
      </c>
      <c r="AU197" s="24"/>
      <c r="AV197" s="24"/>
      <c r="AW197" s="24"/>
      <c r="AX197" s="24"/>
      <c r="AY197" s="24"/>
      <c r="AZ197" s="24"/>
      <c r="BA197" s="24"/>
      <c r="BB197" s="21">
        <v>3</v>
      </c>
      <c r="BC197" s="24"/>
      <c r="BD197" s="24"/>
      <c r="BE197" s="24"/>
    </row>
    <row r="198" ht="13.55" customHeight="1">
      <c r="A198" s="25">
        <v>6599686554</v>
      </c>
      <c r="B198" s="25">
        <v>167721399</v>
      </c>
      <c r="C198" s="26">
        <v>43091.578668981478</v>
      </c>
      <c r="D198" s="26">
        <v>43091.579594907409</v>
      </c>
      <c r="E198" t="s" s="27">
        <v>487</v>
      </c>
      <c r="F198" s="28"/>
      <c r="G198" s="28"/>
      <c r="H198" s="28"/>
      <c r="I198" s="28"/>
      <c r="J198" s="28"/>
      <c r="K198" s="25">
        <v>2</v>
      </c>
      <c r="L198" s="28"/>
      <c r="M198" s="28"/>
      <c r="N198" s="28"/>
      <c r="O198" s="28"/>
      <c r="P198" s="28"/>
      <c r="Q198" s="25">
        <v>2</v>
      </c>
      <c r="R198" s="28"/>
      <c r="S198" s="25">
        <v>2</v>
      </c>
      <c r="T198" s="28"/>
      <c r="U198" s="28"/>
      <c r="V198" s="28"/>
      <c r="W198" s="28"/>
      <c r="X198" s="28"/>
      <c r="Y198" s="25">
        <v>2</v>
      </c>
      <c r="Z198" s="28"/>
      <c r="AA198" s="28"/>
      <c r="AB198" s="28"/>
      <c r="AC198" s="28"/>
      <c r="AD198" s="25">
        <v>1</v>
      </c>
      <c r="AE198" s="28"/>
      <c r="AF198" s="28"/>
      <c r="AG198" s="28"/>
      <c r="AH198" s="28"/>
      <c r="AI198" s="28"/>
      <c r="AJ198" s="28"/>
      <c r="AK198" s="28"/>
      <c r="AL198" s="28"/>
      <c r="AM198" s="28"/>
      <c r="AN198" s="28"/>
      <c r="AO198" s="25">
        <v>6</v>
      </c>
      <c r="AP198" s="28"/>
      <c r="AQ198" t="s" s="27">
        <v>488</v>
      </c>
      <c r="AR198" s="28"/>
      <c r="AS198" s="28"/>
      <c r="AT198" s="28"/>
      <c r="AU198" s="25">
        <v>4</v>
      </c>
      <c r="AV198" s="28"/>
      <c r="AW198" s="28"/>
      <c r="AX198" s="28"/>
      <c r="AY198" s="28"/>
      <c r="AZ198" s="28"/>
      <c r="BA198" s="28"/>
      <c r="BB198" s="28"/>
      <c r="BC198" s="25">
        <v>4</v>
      </c>
      <c r="BD198" s="28"/>
      <c r="BE198" s="28"/>
    </row>
    <row r="199" ht="13.55" customHeight="1">
      <c r="A199" s="25">
        <v>6599686065</v>
      </c>
      <c r="B199" s="25">
        <v>167721399</v>
      </c>
      <c r="C199" s="26">
        <v>43091.578148148154</v>
      </c>
      <c r="D199" s="26">
        <v>43091.579293981478</v>
      </c>
      <c r="E199" t="s" s="27">
        <v>489</v>
      </c>
      <c r="F199" s="28"/>
      <c r="G199" s="28"/>
      <c r="H199" s="28"/>
      <c r="I199" s="28"/>
      <c r="J199" s="28"/>
      <c r="K199" s="25">
        <v>2</v>
      </c>
      <c r="L199" s="28"/>
      <c r="M199" s="28"/>
      <c r="N199" s="28"/>
      <c r="O199" s="28"/>
      <c r="P199" s="28"/>
      <c r="Q199" s="25">
        <v>2</v>
      </c>
      <c r="R199" s="25">
        <v>1</v>
      </c>
      <c r="S199" s="28"/>
      <c r="T199" s="28"/>
      <c r="U199" s="28"/>
      <c r="V199" s="28"/>
      <c r="W199" s="28"/>
      <c r="X199" s="28"/>
      <c r="Y199" s="25">
        <v>2</v>
      </c>
      <c r="Z199" s="28"/>
      <c r="AA199" s="28"/>
      <c r="AB199" s="28"/>
      <c r="AC199" s="28"/>
      <c r="AD199" s="25">
        <v>1</v>
      </c>
      <c r="AE199" s="28"/>
      <c r="AF199" s="28"/>
      <c r="AG199" s="28"/>
      <c r="AH199" s="28"/>
      <c r="AI199" s="28"/>
      <c r="AJ199" s="28"/>
      <c r="AK199" s="28"/>
      <c r="AL199" s="28"/>
      <c r="AM199" s="28"/>
      <c r="AN199" s="28"/>
      <c r="AO199" s="25">
        <v>6</v>
      </c>
      <c r="AP199" s="28"/>
      <c r="AQ199" t="s" s="27">
        <v>490</v>
      </c>
      <c r="AR199" s="28"/>
      <c r="AS199" s="28"/>
      <c r="AT199" s="25">
        <v>3</v>
      </c>
      <c r="AU199" s="28"/>
      <c r="AV199" s="28"/>
      <c r="AW199" s="28"/>
      <c r="AX199" s="28"/>
      <c r="AY199" s="28"/>
      <c r="AZ199" s="28"/>
      <c r="BA199" s="28"/>
      <c r="BB199" s="25">
        <v>3</v>
      </c>
      <c r="BC199" s="28"/>
      <c r="BD199" s="28"/>
      <c r="BE199" s="28"/>
    </row>
    <row r="200" ht="13.55" customHeight="1">
      <c r="A200" s="25">
        <v>6599685182</v>
      </c>
      <c r="B200" s="25">
        <v>167721399</v>
      </c>
      <c r="C200" s="26">
        <v>43091.574351851850</v>
      </c>
      <c r="D200" s="26">
        <v>43091.57875</v>
      </c>
      <c r="E200" t="s" s="27">
        <v>491</v>
      </c>
      <c r="F200" s="28"/>
      <c r="G200" s="28"/>
      <c r="H200" s="28"/>
      <c r="I200" s="28"/>
      <c r="J200" s="28"/>
      <c r="K200" s="25">
        <v>2</v>
      </c>
      <c r="L200" s="28"/>
      <c r="M200" s="28"/>
      <c r="N200" s="28"/>
      <c r="O200" s="28"/>
      <c r="P200" s="28"/>
      <c r="Q200" s="25">
        <v>2</v>
      </c>
      <c r="R200" s="28"/>
      <c r="S200" s="25">
        <v>2</v>
      </c>
      <c r="T200" s="28"/>
      <c r="U200" s="28"/>
      <c r="V200" s="28"/>
      <c r="W200" s="28"/>
      <c r="X200" s="28"/>
      <c r="Y200" s="25">
        <v>2</v>
      </c>
      <c r="Z200" s="28"/>
      <c r="AA200" s="28"/>
      <c r="AB200" s="28"/>
      <c r="AC200" s="28"/>
      <c r="AD200" s="28"/>
      <c r="AE200" s="25">
        <v>2</v>
      </c>
      <c r="AF200" s="28"/>
      <c r="AG200" s="28"/>
      <c r="AH200" s="28"/>
      <c r="AI200" s="28"/>
      <c r="AJ200" s="25">
        <v>1</v>
      </c>
      <c r="AK200" s="25">
        <v>2</v>
      </c>
      <c r="AL200" s="28"/>
      <c r="AM200" s="28"/>
      <c r="AN200" s="28"/>
      <c r="AO200" s="28"/>
      <c r="AP200" s="25">
        <v>7</v>
      </c>
      <c r="AQ200" t="s" s="27">
        <v>492</v>
      </c>
      <c r="AR200" s="28"/>
      <c r="AS200" s="25">
        <v>2</v>
      </c>
      <c r="AT200" s="28"/>
      <c r="AU200" s="28"/>
      <c r="AV200" s="28"/>
      <c r="AW200" s="28"/>
      <c r="AX200" s="28"/>
      <c r="AY200" s="28"/>
      <c r="AZ200" s="28"/>
      <c r="BA200" s="28"/>
      <c r="BB200" s="25">
        <v>3</v>
      </c>
      <c r="BC200" s="28"/>
      <c r="BD200" s="28"/>
      <c r="BE200" s="28"/>
    </row>
    <row r="201" ht="13.55" customHeight="1">
      <c r="A201" s="25">
        <v>6599685118</v>
      </c>
      <c r="B201" s="25">
        <v>167721399</v>
      </c>
      <c r="C201" s="26">
        <v>43091.577604166669</v>
      </c>
      <c r="D201" s="26">
        <v>43091.578692129631</v>
      </c>
      <c r="E201" t="s" s="27">
        <v>493</v>
      </c>
      <c r="F201" s="28"/>
      <c r="G201" s="28"/>
      <c r="H201" s="28"/>
      <c r="I201" s="28"/>
      <c r="J201" s="25">
        <v>1</v>
      </c>
      <c r="K201" s="28"/>
      <c r="L201" s="28"/>
      <c r="M201" s="28"/>
      <c r="N201" s="28"/>
      <c r="O201" s="28"/>
      <c r="P201" s="25">
        <v>1</v>
      </c>
      <c r="Q201" s="28"/>
      <c r="R201" s="25">
        <v>1</v>
      </c>
      <c r="S201" s="28"/>
      <c r="T201" s="28"/>
      <c r="U201" s="28"/>
      <c r="V201" s="28"/>
      <c r="W201" s="28"/>
      <c r="X201" s="28"/>
      <c r="Y201" s="28"/>
      <c r="Z201" s="28"/>
      <c r="AA201" s="25">
        <v>4</v>
      </c>
      <c r="AB201" s="28"/>
      <c r="AC201" s="28"/>
      <c r="AD201" s="28"/>
      <c r="AE201" s="25">
        <v>2</v>
      </c>
      <c r="AF201" s="28"/>
      <c r="AG201" s="28"/>
      <c r="AH201" s="28"/>
      <c r="AI201" s="28"/>
      <c r="AJ201" s="25">
        <v>1</v>
      </c>
      <c r="AK201" s="25">
        <v>2</v>
      </c>
      <c r="AL201" s="28"/>
      <c r="AM201" s="28"/>
      <c r="AN201" s="28"/>
      <c r="AO201" s="28"/>
      <c r="AP201" s="28"/>
      <c r="AQ201" t="s" s="27">
        <v>494</v>
      </c>
      <c r="AR201" s="25">
        <v>1</v>
      </c>
      <c r="AS201" s="28"/>
      <c r="AT201" s="28"/>
      <c r="AU201" s="28"/>
      <c r="AV201" s="28"/>
      <c r="AW201" s="28"/>
      <c r="AX201" s="28"/>
      <c r="AY201" s="28"/>
      <c r="AZ201" s="28"/>
      <c r="BA201" s="28"/>
      <c r="BB201" s="25">
        <v>3</v>
      </c>
      <c r="BC201" s="28"/>
      <c r="BD201" s="28"/>
      <c r="BE201" s="28"/>
    </row>
    <row r="202" ht="13.55" customHeight="1">
      <c r="A202" s="25">
        <v>6599682344</v>
      </c>
      <c r="B202" s="25">
        <v>167721399</v>
      </c>
      <c r="C202" s="26">
        <v>43091.575972222221</v>
      </c>
      <c r="D202" s="26">
        <v>43091.576875</v>
      </c>
      <c r="E202" t="s" s="27">
        <v>495</v>
      </c>
      <c r="F202" s="28"/>
      <c r="G202" s="28"/>
      <c r="H202" s="28"/>
      <c r="I202" s="28"/>
      <c r="J202" s="28"/>
      <c r="K202" s="28"/>
      <c r="L202" s="25">
        <v>3</v>
      </c>
      <c r="M202" s="28"/>
      <c r="N202" s="28"/>
      <c r="O202" s="28"/>
      <c r="P202" s="25">
        <v>1</v>
      </c>
      <c r="Q202" s="28"/>
      <c r="R202" s="28"/>
      <c r="S202" s="28"/>
      <c r="T202" s="28"/>
      <c r="U202" s="25">
        <v>4</v>
      </c>
      <c r="V202" s="28"/>
      <c r="W202" s="28"/>
      <c r="X202" s="28"/>
      <c r="Y202" s="28"/>
      <c r="Z202" s="28"/>
      <c r="AA202" s="25">
        <v>4</v>
      </c>
      <c r="AB202" s="28"/>
      <c r="AC202" s="28"/>
      <c r="AD202" s="28"/>
      <c r="AE202" s="28"/>
      <c r="AF202" s="25">
        <v>3</v>
      </c>
      <c r="AG202" s="28"/>
      <c r="AH202" s="28"/>
      <c r="AI202" s="28"/>
      <c r="AJ202" s="25">
        <v>1</v>
      </c>
      <c r="AK202" s="25">
        <v>2</v>
      </c>
      <c r="AL202" s="28"/>
      <c r="AM202" s="25">
        <v>4</v>
      </c>
      <c r="AN202" s="28"/>
      <c r="AO202" s="28"/>
      <c r="AP202" s="28"/>
      <c r="AQ202" t="s" s="27">
        <v>496</v>
      </c>
      <c r="AR202" s="28"/>
      <c r="AS202" s="28"/>
      <c r="AT202" s="25">
        <v>3</v>
      </c>
      <c r="AU202" s="28"/>
      <c r="AV202" s="28"/>
      <c r="AW202" s="28"/>
      <c r="AX202" s="28"/>
      <c r="AY202" s="28"/>
      <c r="AZ202" s="28"/>
      <c r="BA202" s="28"/>
      <c r="BB202" s="28"/>
      <c r="BC202" s="25">
        <v>4</v>
      </c>
      <c r="BD202" s="28"/>
      <c r="BE202" s="28"/>
    </row>
    <row r="203" ht="13.55" customHeight="1">
      <c r="A203" s="25">
        <v>6599681102</v>
      </c>
      <c r="B203" s="25">
        <v>167721399</v>
      </c>
      <c r="C203" s="26">
        <v>43091.569259259260</v>
      </c>
      <c r="D203" s="26">
        <v>43091.576064814813</v>
      </c>
      <c r="E203" t="s" s="27">
        <v>497</v>
      </c>
      <c r="F203" s="28"/>
      <c r="G203" s="28"/>
      <c r="H203" s="28"/>
      <c r="I203" s="28"/>
      <c r="J203" s="28"/>
      <c r="K203" s="25">
        <v>2</v>
      </c>
      <c r="L203" s="28"/>
      <c r="M203" s="28"/>
      <c r="N203" s="28"/>
      <c r="O203" s="28"/>
      <c r="P203" s="28"/>
      <c r="Q203" s="25">
        <v>2</v>
      </c>
      <c r="R203" s="28"/>
      <c r="S203" s="25">
        <v>2</v>
      </c>
      <c r="T203" s="28"/>
      <c r="U203" s="28"/>
      <c r="V203" s="28"/>
      <c r="W203" s="28"/>
      <c r="X203" s="28"/>
      <c r="Y203" s="25">
        <v>2</v>
      </c>
      <c r="Z203" s="28"/>
      <c r="AA203" s="28"/>
      <c r="AB203" s="28"/>
      <c r="AC203" s="28"/>
      <c r="AD203" s="28"/>
      <c r="AE203" s="25">
        <v>2</v>
      </c>
      <c r="AF203" s="28"/>
      <c r="AG203" s="28"/>
      <c r="AH203" s="28"/>
      <c r="AI203" s="28"/>
      <c r="AJ203" s="28"/>
      <c r="AK203" s="28"/>
      <c r="AL203" s="28"/>
      <c r="AM203" s="28"/>
      <c r="AN203" s="28"/>
      <c r="AO203" s="28"/>
      <c r="AP203" s="25">
        <v>7</v>
      </c>
      <c r="AQ203" t="s" s="27">
        <v>498</v>
      </c>
      <c r="AR203" s="25">
        <v>1</v>
      </c>
      <c r="AS203" s="28"/>
      <c r="AT203" s="28"/>
      <c r="AU203" s="28"/>
      <c r="AV203" s="28"/>
      <c r="AW203" s="28"/>
      <c r="AX203" s="28"/>
      <c r="AY203" s="28"/>
      <c r="AZ203" s="28"/>
      <c r="BA203" s="28"/>
      <c r="BB203" s="25">
        <v>3</v>
      </c>
      <c r="BC203" s="28"/>
      <c r="BD203" s="28"/>
      <c r="BE203" s="28"/>
    </row>
    <row r="204" ht="13.55" customHeight="1">
      <c r="A204" s="25">
        <v>6599675002</v>
      </c>
      <c r="B204" s="25">
        <v>167721399</v>
      </c>
      <c r="C204" s="26">
        <v>43091.571099537039</v>
      </c>
      <c r="D204" s="26">
        <v>43091.572106481479</v>
      </c>
      <c r="E204" t="s" s="27">
        <v>499</v>
      </c>
      <c r="F204" s="28"/>
      <c r="G204" s="28"/>
      <c r="H204" s="28"/>
      <c r="I204" s="28"/>
      <c r="J204" s="28"/>
      <c r="K204" s="28"/>
      <c r="L204" s="25">
        <v>3</v>
      </c>
      <c r="M204" s="28"/>
      <c r="N204" s="28"/>
      <c r="O204" s="28"/>
      <c r="P204" s="25">
        <v>1</v>
      </c>
      <c r="Q204" s="28"/>
      <c r="R204" s="28"/>
      <c r="S204" s="28"/>
      <c r="T204" s="25">
        <v>3</v>
      </c>
      <c r="U204" s="28"/>
      <c r="V204" s="28"/>
      <c r="W204" s="28"/>
      <c r="X204" s="28"/>
      <c r="Y204" s="25">
        <v>2</v>
      </c>
      <c r="Z204" s="28"/>
      <c r="AA204" s="28"/>
      <c r="AB204" s="28"/>
      <c r="AC204" s="28"/>
      <c r="AD204" s="28"/>
      <c r="AE204" s="28"/>
      <c r="AF204" s="25">
        <v>3</v>
      </c>
      <c r="AG204" s="28"/>
      <c r="AH204" s="28"/>
      <c r="AI204" s="28"/>
      <c r="AJ204" s="25">
        <v>1</v>
      </c>
      <c r="AK204" s="25">
        <v>2</v>
      </c>
      <c r="AL204" s="28"/>
      <c r="AM204" s="28"/>
      <c r="AN204" s="28"/>
      <c r="AO204" s="28"/>
      <c r="AP204" s="28"/>
      <c r="AQ204" t="s" s="27">
        <v>500</v>
      </c>
      <c r="AR204" s="28"/>
      <c r="AS204" s="28"/>
      <c r="AT204" s="28"/>
      <c r="AU204" s="28"/>
      <c r="AV204" s="28"/>
      <c r="AW204" s="28"/>
      <c r="AX204" s="28"/>
      <c r="AY204" s="25">
        <v>8</v>
      </c>
      <c r="AZ204" s="28"/>
      <c r="BA204" s="28"/>
      <c r="BB204" s="28"/>
      <c r="BC204" s="25">
        <v>4</v>
      </c>
      <c r="BD204" s="28"/>
      <c r="BE204" s="28"/>
    </row>
    <row r="205" ht="13.55" customHeight="1">
      <c r="A205" s="25">
        <v>6599668365</v>
      </c>
      <c r="B205" s="25">
        <v>167721399</v>
      </c>
      <c r="C205" s="26">
        <v>43091.567129629628</v>
      </c>
      <c r="D205" s="26">
        <v>43091.567847222221</v>
      </c>
      <c r="E205" t="s" s="27">
        <v>501</v>
      </c>
      <c r="F205" s="28"/>
      <c r="G205" s="28"/>
      <c r="H205" s="28"/>
      <c r="I205" s="28"/>
      <c r="J205" s="25">
        <v>1</v>
      </c>
      <c r="K205" s="28"/>
      <c r="L205" s="28"/>
      <c r="M205" s="28"/>
      <c r="N205" s="28"/>
      <c r="O205" s="28"/>
      <c r="P205" s="25">
        <v>1</v>
      </c>
      <c r="Q205" s="28"/>
      <c r="R205" s="25">
        <v>1</v>
      </c>
      <c r="S205" s="28"/>
      <c r="T205" s="28"/>
      <c r="U205" s="28"/>
      <c r="V205" s="28"/>
      <c r="W205" s="28"/>
      <c r="X205" s="28"/>
      <c r="Y205" s="25">
        <v>2</v>
      </c>
      <c r="Z205" s="28"/>
      <c r="AA205" s="28"/>
      <c r="AB205" s="28"/>
      <c r="AC205" s="28"/>
      <c r="AD205" s="25">
        <v>1</v>
      </c>
      <c r="AE205" s="28"/>
      <c r="AF205" s="28"/>
      <c r="AG205" s="28"/>
      <c r="AH205" s="28"/>
      <c r="AI205" s="28"/>
      <c r="AJ205" s="28"/>
      <c r="AK205" s="25">
        <v>2</v>
      </c>
      <c r="AL205" s="28"/>
      <c r="AM205" s="28"/>
      <c r="AN205" s="28"/>
      <c r="AO205" s="28"/>
      <c r="AP205" s="25">
        <v>7</v>
      </c>
      <c r="AQ205" t="s" s="27">
        <v>502</v>
      </c>
      <c r="AR205" s="25">
        <v>1</v>
      </c>
      <c r="AS205" s="28"/>
      <c r="AT205" s="28"/>
      <c r="AU205" s="28"/>
      <c r="AV205" s="28"/>
      <c r="AW205" s="28"/>
      <c r="AX205" s="28"/>
      <c r="AY205" s="28"/>
      <c r="AZ205" s="28"/>
      <c r="BA205" s="28"/>
      <c r="BB205" s="25">
        <v>3</v>
      </c>
      <c r="BC205" s="28"/>
      <c r="BD205" s="28"/>
      <c r="BE205" s="28"/>
    </row>
    <row r="206" ht="13.55" customHeight="1">
      <c r="A206" s="25">
        <v>6599667737</v>
      </c>
      <c r="B206" s="25">
        <v>167721399</v>
      </c>
      <c r="C206" s="26">
        <v>43091.566701388889</v>
      </c>
      <c r="D206" s="26">
        <v>43091.567418981482</v>
      </c>
      <c r="E206" t="s" s="27">
        <v>503</v>
      </c>
      <c r="F206" s="28"/>
      <c r="G206" s="28"/>
      <c r="H206" s="28"/>
      <c r="I206" s="28"/>
      <c r="J206" s="28"/>
      <c r="K206" s="28"/>
      <c r="L206" s="25">
        <v>3</v>
      </c>
      <c r="M206" s="28"/>
      <c r="N206" s="28"/>
      <c r="O206" s="28"/>
      <c r="P206" s="25">
        <v>1</v>
      </c>
      <c r="Q206" s="28"/>
      <c r="R206" s="28"/>
      <c r="S206" s="28"/>
      <c r="T206" s="25">
        <v>3</v>
      </c>
      <c r="U206" s="28"/>
      <c r="V206" s="28"/>
      <c r="W206" s="28"/>
      <c r="X206" s="28"/>
      <c r="Y206" s="28"/>
      <c r="Z206" s="28"/>
      <c r="AA206" s="25">
        <v>4</v>
      </c>
      <c r="AB206" s="28"/>
      <c r="AC206" s="28"/>
      <c r="AD206" s="28"/>
      <c r="AE206" s="28"/>
      <c r="AF206" s="25">
        <v>3</v>
      </c>
      <c r="AG206" s="28"/>
      <c r="AH206" s="28"/>
      <c r="AI206" s="28"/>
      <c r="AJ206" s="25">
        <v>1</v>
      </c>
      <c r="AK206" s="28"/>
      <c r="AL206" s="28"/>
      <c r="AM206" s="28"/>
      <c r="AN206" s="28"/>
      <c r="AO206" s="28"/>
      <c r="AP206" s="28"/>
      <c r="AQ206" t="s" s="27">
        <v>504</v>
      </c>
      <c r="AR206" s="25">
        <v>1</v>
      </c>
      <c r="AS206" s="28"/>
      <c r="AT206" s="28"/>
      <c r="AU206" s="28"/>
      <c r="AV206" s="28"/>
      <c r="AW206" s="28"/>
      <c r="AX206" s="28"/>
      <c r="AY206" s="28"/>
      <c r="AZ206" s="28"/>
      <c r="BA206" s="28"/>
      <c r="BB206" s="25">
        <v>3</v>
      </c>
      <c r="BC206" s="28"/>
      <c r="BD206" s="28"/>
      <c r="BE206" s="28"/>
    </row>
    <row r="207" ht="13.55" customHeight="1">
      <c r="A207" s="25">
        <v>6599666414</v>
      </c>
      <c r="B207" s="25">
        <v>167721399</v>
      </c>
      <c r="C207" s="26">
        <v>43091.565775462957</v>
      </c>
      <c r="D207" s="26">
        <v>43091.5665625</v>
      </c>
      <c r="E207" t="s" s="27">
        <v>505</v>
      </c>
      <c r="F207" s="28"/>
      <c r="G207" s="28"/>
      <c r="H207" s="28"/>
      <c r="I207" s="28"/>
      <c r="J207" s="28"/>
      <c r="K207" s="28"/>
      <c r="L207" s="25">
        <v>3</v>
      </c>
      <c r="M207" s="28"/>
      <c r="N207" s="28"/>
      <c r="O207" s="28"/>
      <c r="P207" s="25">
        <v>1</v>
      </c>
      <c r="Q207" s="28"/>
      <c r="R207" s="28"/>
      <c r="S207" s="28"/>
      <c r="T207" s="28"/>
      <c r="U207" s="25">
        <v>4</v>
      </c>
      <c r="V207" s="28"/>
      <c r="W207" s="28"/>
      <c r="X207" s="28"/>
      <c r="Y207" s="25">
        <v>2</v>
      </c>
      <c r="Z207" s="28"/>
      <c r="AA207" s="28"/>
      <c r="AB207" s="28"/>
      <c r="AC207" s="28"/>
      <c r="AD207" s="28"/>
      <c r="AE207" s="28"/>
      <c r="AF207" s="25">
        <v>3</v>
      </c>
      <c r="AG207" s="28"/>
      <c r="AH207" s="28"/>
      <c r="AI207" s="28"/>
      <c r="AJ207" s="25">
        <v>1</v>
      </c>
      <c r="AK207" s="28"/>
      <c r="AL207" s="28"/>
      <c r="AM207" s="28"/>
      <c r="AN207" s="28"/>
      <c r="AO207" s="28"/>
      <c r="AP207" s="28"/>
      <c r="AQ207" t="s" s="27">
        <v>506</v>
      </c>
      <c r="AR207" s="28"/>
      <c r="AS207" s="28"/>
      <c r="AT207" s="25">
        <v>3</v>
      </c>
      <c r="AU207" s="28"/>
      <c r="AV207" s="28"/>
      <c r="AW207" s="28"/>
      <c r="AX207" s="28"/>
      <c r="AY207" s="28"/>
      <c r="AZ207" s="28"/>
      <c r="BA207" s="28"/>
      <c r="BB207" s="25">
        <v>3</v>
      </c>
      <c r="BC207" s="28"/>
      <c r="BD207" s="28"/>
      <c r="BE207" s="28"/>
    </row>
    <row r="208" ht="13.55" customHeight="1">
      <c r="A208" s="25">
        <v>6599666185</v>
      </c>
      <c r="B208" s="25">
        <v>167721399</v>
      </c>
      <c r="C208" s="26">
        <v>43091.565856481480</v>
      </c>
      <c r="D208" s="26">
        <v>43091.566400462973</v>
      </c>
      <c r="E208" t="s" s="27">
        <v>507</v>
      </c>
      <c r="F208" s="28"/>
      <c r="G208" s="28"/>
      <c r="H208" s="28"/>
      <c r="I208" s="28"/>
      <c r="J208" s="28"/>
      <c r="K208" s="25">
        <v>2</v>
      </c>
      <c r="L208" s="28"/>
      <c r="M208" s="28"/>
      <c r="N208" s="28"/>
      <c r="O208" s="28"/>
      <c r="P208" s="28"/>
      <c r="Q208" s="25">
        <v>2</v>
      </c>
      <c r="R208" s="28"/>
      <c r="S208" s="25">
        <v>2</v>
      </c>
      <c r="T208" s="28"/>
      <c r="U208" s="28"/>
      <c r="V208" s="28"/>
      <c r="W208" s="28"/>
      <c r="X208" s="28"/>
      <c r="Y208" s="25">
        <v>2</v>
      </c>
      <c r="Z208" s="28"/>
      <c r="AA208" s="28"/>
      <c r="AB208" s="28"/>
      <c r="AC208" s="28"/>
      <c r="AD208" s="25">
        <v>1</v>
      </c>
      <c r="AE208" s="28"/>
      <c r="AF208" s="28"/>
      <c r="AG208" s="28"/>
      <c r="AH208" s="28"/>
      <c r="AI208" s="28"/>
      <c r="AJ208" s="25">
        <v>1</v>
      </c>
      <c r="AK208" s="28"/>
      <c r="AL208" s="28"/>
      <c r="AM208" s="25">
        <v>4</v>
      </c>
      <c r="AN208" s="25">
        <v>5</v>
      </c>
      <c r="AO208" s="28"/>
      <c r="AP208" s="28"/>
      <c r="AQ208" t="s" s="27">
        <v>508</v>
      </c>
      <c r="AR208" s="25">
        <v>1</v>
      </c>
      <c r="AS208" s="28"/>
      <c r="AT208" s="28"/>
      <c r="AU208" s="28"/>
      <c r="AV208" s="28"/>
      <c r="AW208" s="28"/>
      <c r="AX208" s="28"/>
      <c r="AY208" s="28"/>
      <c r="AZ208" s="28"/>
      <c r="BA208" s="28"/>
      <c r="BB208" s="25">
        <v>3</v>
      </c>
      <c r="BC208" s="28"/>
      <c r="BD208" s="28"/>
      <c r="BE208" s="28"/>
    </row>
    <row r="209" ht="13.55" customHeight="1">
      <c r="A209" s="25">
        <v>6599663298</v>
      </c>
      <c r="B209" s="25">
        <v>167721399</v>
      </c>
      <c r="C209" s="26">
        <v>43091.563993055563</v>
      </c>
      <c r="D209" s="26">
        <v>43091.564664351848</v>
      </c>
      <c r="E209" t="s" s="27">
        <v>509</v>
      </c>
      <c r="F209" s="28"/>
      <c r="G209" s="28"/>
      <c r="H209" s="28"/>
      <c r="I209" s="28"/>
      <c r="J209" s="28"/>
      <c r="K209" s="28"/>
      <c r="L209" s="25">
        <v>3</v>
      </c>
      <c r="M209" s="28"/>
      <c r="N209" s="28"/>
      <c r="O209" s="28"/>
      <c r="P209" s="25">
        <v>1</v>
      </c>
      <c r="Q209" s="28"/>
      <c r="R209" s="28"/>
      <c r="S209" s="28"/>
      <c r="T209" s="28"/>
      <c r="U209" s="25">
        <v>4</v>
      </c>
      <c r="V209" s="28"/>
      <c r="W209" s="28"/>
      <c r="X209" s="28"/>
      <c r="Y209" s="25">
        <v>2</v>
      </c>
      <c r="Z209" s="28"/>
      <c r="AA209" s="28"/>
      <c r="AB209" s="28"/>
      <c r="AC209" s="28"/>
      <c r="AD209" s="25">
        <v>1</v>
      </c>
      <c r="AE209" s="28"/>
      <c r="AF209" s="28"/>
      <c r="AG209" s="28"/>
      <c r="AH209" s="28"/>
      <c r="AI209" s="28"/>
      <c r="AJ209" s="28"/>
      <c r="AK209" s="25">
        <v>2</v>
      </c>
      <c r="AL209" s="28"/>
      <c r="AM209" s="28"/>
      <c r="AN209" s="28"/>
      <c r="AO209" s="28"/>
      <c r="AP209" s="28"/>
      <c r="AQ209" t="s" s="27">
        <v>510</v>
      </c>
      <c r="AR209" s="28"/>
      <c r="AS209" s="28"/>
      <c r="AT209" s="28"/>
      <c r="AU209" s="28"/>
      <c r="AV209" s="28"/>
      <c r="AW209" s="28"/>
      <c r="AX209" s="28"/>
      <c r="AY209" s="25">
        <v>8</v>
      </c>
      <c r="AZ209" s="28"/>
      <c r="BA209" s="28"/>
      <c r="BB209" s="25">
        <v>3</v>
      </c>
      <c r="BC209" s="28"/>
      <c r="BD209" s="28"/>
      <c r="BE209" s="28"/>
    </row>
    <row r="210" ht="13.55" customHeight="1">
      <c r="A210" s="25">
        <v>6599663062</v>
      </c>
      <c r="B210" s="25">
        <v>167721399</v>
      </c>
      <c r="C210" s="26">
        <v>43091.563587962963</v>
      </c>
      <c r="D210" s="26">
        <v>43091.564513888887</v>
      </c>
      <c r="E210" t="s" s="27">
        <v>511</v>
      </c>
      <c r="F210" s="28"/>
      <c r="G210" s="28"/>
      <c r="H210" s="28"/>
      <c r="I210" s="28"/>
      <c r="J210" s="28"/>
      <c r="K210" s="25">
        <v>2</v>
      </c>
      <c r="L210" s="28"/>
      <c r="M210" s="28"/>
      <c r="N210" s="28"/>
      <c r="O210" s="28"/>
      <c r="P210" s="25">
        <v>1</v>
      </c>
      <c r="Q210" s="28"/>
      <c r="R210" s="28"/>
      <c r="S210" s="25">
        <v>2</v>
      </c>
      <c r="T210" s="28"/>
      <c r="U210" s="28"/>
      <c r="V210" s="28"/>
      <c r="W210" s="28"/>
      <c r="X210" s="28"/>
      <c r="Y210" s="25">
        <v>2</v>
      </c>
      <c r="Z210" s="28"/>
      <c r="AA210" s="28"/>
      <c r="AB210" s="28"/>
      <c r="AC210" s="28"/>
      <c r="AD210" s="28"/>
      <c r="AE210" s="25">
        <v>2</v>
      </c>
      <c r="AF210" s="28"/>
      <c r="AG210" s="28"/>
      <c r="AH210" s="28"/>
      <c r="AI210" s="28"/>
      <c r="AJ210" s="25">
        <v>1</v>
      </c>
      <c r="AK210" s="28"/>
      <c r="AL210" s="28"/>
      <c r="AM210" s="28"/>
      <c r="AN210" s="25">
        <v>5</v>
      </c>
      <c r="AO210" s="28"/>
      <c r="AP210" s="28"/>
      <c r="AQ210" t="s" s="27">
        <v>512</v>
      </c>
      <c r="AR210" s="25">
        <v>1</v>
      </c>
      <c r="AS210" s="28"/>
      <c r="AT210" s="28"/>
      <c r="AU210" s="28"/>
      <c r="AV210" s="28"/>
      <c r="AW210" s="28"/>
      <c r="AX210" s="28"/>
      <c r="AY210" s="28"/>
      <c r="AZ210" s="28"/>
      <c r="BA210" s="28"/>
      <c r="BB210" s="25">
        <v>3</v>
      </c>
      <c r="BC210" s="28"/>
      <c r="BD210" s="28"/>
      <c r="BE210" s="28"/>
    </row>
    <row r="211" ht="13.55" customHeight="1">
      <c r="A211" s="25">
        <v>6599660102</v>
      </c>
      <c r="B211" s="25">
        <v>167721399</v>
      </c>
      <c r="C211" s="26">
        <v>43091.560335648152</v>
      </c>
      <c r="D211" s="26">
        <v>43091.562650462962</v>
      </c>
      <c r="E211" t="s" s="27">
        <v>513</v>
      </c>
      <c r="F211" s="28"/>
      <c r="G211" s="28"/>
      <c r="H211" s="28"/>
      <c r="I211" s="28"/>
      <c r="J211" s="28"/>
      <c r="K211" s="25">
        <v>2</v>
      </c>
      <c r="L211" s="28"/>
      <c r="M211" s="28"/>
      <c r="N211" s="28"/>
      <c r="O211" s="28"/>
      <c r="P211" s="25">
        <v>1</v>
      </c>
      <c r="Q211" s="28"/>
      <c r="R211" s="28"/>
      <c r="S211" s="28"/>
      <c r="T211" s="28"/>
      <c r="U211" s="25">
        <v>4</v>
      </c>
      <c r="V211" s="28"/>
      <c r="W211" s="28"/>
      <c r="X211" s="28"/>
      <c r="Y211" s="28"/>
      <c r="Z211" s="28"/>
      <c r="AA211" s="25">
        <v>4</v>
      </c>
      <c r="AB211" s="28"/>
      <c r="AC211" s="28"/>
      <c r="AD211" s="28"/>
      <c r="AE211" s="28"/>
      <c r="AF211" s="28"/>
      <c r="AG211" s="28"/>
      <c r="AH211" s="25">
        <v>5</v>
      </c>
      <c r="AI211" s="28"/>
      <c r="AJ211" s="25">
        <v>1</v>
      </c>
      <c r="AK211" s="28"/>
      <c r="AL211" s="28"/>
      <c r="AM211" s="28"/>
      <c r="AN211" s="28"/>
      <c r="AO211" s="28"/>
      <c r="AP211" s="28"/>
      <c r="AQ211" t="s" s="27">
        <v>514</v>
      </c>
      <c r="AR211" s="28"/>
      <c r="AS211" s="28"/>
      <c r="AT211" s="28"/>
      <c r="AU211" s="28"/>
      <c r="AV211" s="28"/>
      <c r="AW211" s="28"/>
      <c r="AX211" s="28"/>
      <c r="AY211" s="25">
        <v>8</v>
      </c>
      <c r="AZ211" s="28"/>
      <c r="BA211" s="28"/>
      <c r="BB211" s="25">
        <v>3</v>
      </c>
      <c r="BC211" s="28"/>
      <c r="BD211" s="28"/>
      <c r="BE211" s="28"/>
    </row>
    <row r="212" ht="13.55" customHeight="1">
      <c r="A212" s="25">
        <v>6599656886</v>
      </c>
      <c r="B212" s="25">
        <v>167721399</v>
      </c>
      <c r="C212" s="26">
        <v>43091.560208333343</v>
      </c>
      <c r="D212" s="26">
        <v>43091.560717592591</v>
      </c>
      <c r="E212" t="s" s="27">
        <v>515</v>
      </c>
      <c r="F212" s="28"/>
      <c r="G212" s="28"/>
      <c r="H212" s="28"/>
      <c r="I212" s="28"/>
      <c r="J212" s="28"/>
      <c r="K212" s="28"/>
      <c r="L212" s="25">
        <v>3</v>
      </c>
      <c r="M212" s="28"/>
      <c r="N212" s="28"/>
      <c r="O212" s="28"/>
      <c r="P212" s="28"/>
      <c r="Q212" s="25">
        <v>2</v>
      </c>
      <c r="R212" s="28"/>
      <c r="S212" s="25">
        <v>2</v>
      </c>
      <c r="T212" s="28"/>
      <c r="U212" s="28"/>
      <c r="V212" s="28"/>
      <c r="W212" s="28"/>
      <c r="X212" s="28"/>
      <c r="Y212" s="25">
        <v>2</v>
      </c>
      <c r="Z212" s="28"/>
      <c r="AA212" s="28"/>
      <c r="AB212" s="28"/>
      <c r="AC212" s="28"/>
      <c r="AD212" s="28"/>
      <c r="AE212" s="25">
        <v>2</v>
      </c>
      <c r="AF212" s="28"/>
      <c r="AG212" s="28"/>
      <c r="AH212" s="28"/>
      <c r="AI212" s="28"/>
      <c r="AJ212" s="28"/>
      <c r="AK212" s="28"/>
      <c r="AL212" s="28"/>
      <c r="AM212" s="28"/>
      <c r="AN212" s="28"/>
      <c r="AO212" s="25">
        <v>6</v>
      </c>
      <c r="AP212" s="28"/>
      <c r="AQ212" t="s" s="27">
        <v>516</v>
      </c>
      <c r="AR212" s="28"/>
      <c r="AS212" s="28"/>
      <c r="AT212" s="28"/>
      <c r="AU212" s="25">
        <v>4</v>
      </c>
      <c r="AV212" s="28"/>
      <c r="AW212" s="28"/>
      <c r="AX212" s="28"/>
      <c r="AY212" s="28"/>
      <c r="AZ212" s="28"/>
      <c r="BA212" s="28"/>
      <c r="BB212" s="25">
        <v>3</v>
      </c>
      <c r="BC212" s="28"/>
      <c r="BD212" s="28"/>
      <c r="BE212" s="28"/>
    </row>
    <row r="213" ht="13.55" customHeight="1">
      <c r="A213" s="25">
        <v>6599655019</v>
      </c>
      <c r="B213" s="25">
        <v>167721399</v>
      </c>
      <c r="C213" s="26">
        <v>43091.5585300926</v>
      </c>
      <c r="D213" s="26">
        <v>43091.559571759259</v>
      </c>
      <c r="E213" t="s" s="27">
        <v>517</v>
      </c>
      <c r="F213" s="28"/>
      <c r="G213" s="28"/>
      <c r="H213" s="28"/>
      <c r="I213" s="28"/>
      <c r="J213" s="28"/>
      <c r="K213" s="25">
        <v>2</v>
      </c>
      <c r="L213" s="28"/>
      <c r="M213" s="28"/>
      <c r="N213" s="28"/>
      <c r="O213" s="28"/>
      <c r="P213" s="25">
        <v>1</v>
      </c>
      <c r="Q213" s="28"/>
      <c r="R213" s="28"/>
      <c r="S213" s="25">
        <v>2</v>
      </c>
      <c r="T213" s="28"/>
      <c r="U213" s="28"/>
      <c r="V213" s="28"/>
      <c r="W213" s="28"/>
      <c r="X213" s="28"/>
      <c r="Y213" s="28"/>
      <c r="Z213" s="28"/>
      <c r="AA213" s="25">
        <v>4</v>
      </c>
      <c r="AB213" s="28"/>
      <c r="AC213" s="28"/>
      <c r="AD213" s="28"/>
      <c r="AE213" s="28"/>
      <c r="AF213" s="25">
        <v>3</v>
      </c>
      <c r="AG213" s="28"/>
      <c r="AH213" s="28"/>
      <c r="AI213" s="28"/>
      <c r="AJ213" s="25">
        <v>1</v>
      </c>
      <c r="AK213" s="28"/>
      <c r="AL213" s="28"/>
      <c r="AM213" s="28"/>
      <c r="AN213" s="28"/>
      <c r="AO213" s="28"/>
      <c r="AP213" s="28"/>
      <c r="AQ213" t="s" s="27">
        <v>518</v>
      </c>
      <c r="AR213" s="28"/>
      <c r="AS213" s="28"/>
      <c r="AT213" s="25">
        <v>3</v>
      </c>
      <c r="AU213" s="28"/>
      <c r="AV213" s="28"/>
      <c r="AW213" s="28"/>
      <c r="AX213" s="28"/>
      <c r="AY213" s="28"/>
      <c r="AZ213" s="28"/>
      <c r="BA213" s="28"/>
      <c r="BB213" s="25">
        <v>3</v>
      </c>
      <c r="BC213" s="28"/>
      <c r="BD213" s="28"/>
      <c r="BE213" s="28"/>
    </row>
    <row r="214" ht="13.55" customHeight="1">
      <c r="A214" s="25">
        <v>6599653886</v>
      </c>
      <c r="B214" s="25">
        <v>167721399</v>
      </c>
      <c r="C214" s="26">
        <v>43091.558113425926</v>
      </c>
      <c r="D214" s="26">
        <v>43091.558865740742</v>
      </c>
      <c r="E214" t="s" s="27">
        <v>519</v>
      </c>
      <c r="F214" s="28"/>
      <c r="G214" s="28"/>
      <c r="H214" s="28"/>
      <c r="I214" s="28"/>
      <c r="J214" s="28"/>
      <c r="K214" s="25">
        <v>2</v>
      </c>
      <c r="L214" s="28"/>
      <c r="M214" s="28"/>
      <c r="N214" s="28"/>
      <c r="O214" s="28"/>
      <c r="P214" s="28"/>
      <c r="Q214" s="25">
        <v>2</v>
      </c>
      <c r="R214" s="25">
        <v>1</v>
      </c>
      <c r="S214" s="28"/>
      <c r="T214" s="28"/>
      <c r="U214" s="28"/>
      <c r="V214" s="28"/>
      <c r="W214" s="28"/>
      <c r="X214" s="25">
        <v>1</v>
      </c>
      <c r="Y214" s="28"/>
      <c r="Z214" s="28"/>
      <c r="AA214" s="28"/>
      <c r="AB214" s="28"/>
      <c r="AC214" s="28"/>
      <c r="AD214" s="25">
        <v>1</v>
      </c>
      <c r="AE214" s="28"/>
      <c r="AF214" s="28"/>
      <c r="AG214" s="28"/>
      <c r="AH214" s="28"/>
      <c r="AI214" s="28"/>
      <c r="AJ214" s="25">
        <v>1</v>
      </c>
      <c r="AK214" s="28"/>
      <c r="AL214" s="28"/>
      <c r="AM214" s="28"/>
      <c r="AN214" s="28"/>
      <c r="AO214" s="28"/>
      <c r="AP214" s="28"/>
      <c r="AQ214" t="s" s="27">
        <v>520</v>
      </c>
      <c r="AR214" s="25">
        <v>1</v>
      </c>
      <c r="AS214" s="28"/>
      <c r="AT214" s="28"/>
      <c r="AU214" s="28"/>
      <c r="AV214" s="28"/>
      <c r="AW214" s="28"/>
      <c r="AX214" s="28"/>
      <c r="AY214" s="28"/>
      <c r="AZ214" s="28"/>
      <c r="BA214" s="28"/>
      <c r="BB214" s="25">
        <v>3</v>
      </c>
      <c r="BC214" s="28"/>
      <c r="BD214" s="28"/>
      <c r="BE214" s="28"/>
    </row>
    <row r="215" ht="13.55" customHeight="1">
      <c r="A215" s="25">
        <v>6599646500</v>
      </c>
      <c r="B215" s="25">
        <v>167721399</v>
      </c>
      <c r="C215" s="26">
        <v>43091.546493055554</v>
      </c>
      <c r="D215" s="26">
        <v>43091.554432870369</v>
      </c>
      <c r="E215" t="s" s="27">
        <v>521</v>
      </c>
      <c r="F215" s="28"/>
      <c r="G215" s="28"/>
      <c r="H215" s="28"/>
      <c r="I215" s="28"/>
      <c r="J215" s="28"/>
      <c r="K215" s="25">
        <v>2</v>
      </c>
      <c r="L215" s="28"/>
      <c r="M215" s="28"/>
      <c r="N215" s="28"/>
      <c r="O215" s="28"/>
      <c r="P215" s="25">
        <v>1</v>
      </c>
      <c r="Q215" s="28"/>
      <c r="R215" s="25">
        <v>1</v>
      </c>
      <c r="S215" s="28"/>
      <c r="T215" s="28"/>
      <c r="U215" s="28"/>
      <c r="V215" s="28"/>
      <c r="W215" s="28"/>
      <c r="X215" s="28"/>
      <c r="Y215" s="25">
        <v>2</v>
      </c>
      <c r="Z215" s="28"/>
      <c r="AA215" s="28"/>
      <c r="AB215" s="28"/>
      <c r="AC215" s="28"/>
      <c r="AD215" s="28"/>
      <c r="AE215" s="25">
        <v>2</v>
      </c>
      <c r="AF215" s="28"/>
      <c r="AG215" s="28"/>
      <c r="AH215" s="28"/>
      <c r="AI215" s="28"/>
      <c r="AJ215" s="25">
        <v>1</v>
      </c>
      <c r="AK215" s="28"/>
      <c r="AL215" s="28"/>
      <c r="AM215" s="28"/>
      <c r="AN215" s="28"/>
      <c r="AO215" s="25">
        <v>6</v>
      </c>
      <c r="AP215" s="28"/>
      <c r="AQ215" t="s" s="27">
        <v>522</v>
      </c>
      <c r="AR215" s="28"/>
      <c r="AS215" s="28"/>
      <c r="AT215" s="25">
        <v>3</v>
      </c>
      <c r="AU215" s="28"/>
      <c r="AV215" s="28"/>
      <c r="AW215" s="28"/>
      <c r="AX215" s="28"/>
      <c r="AY215" s="28"/>
      <c r="AZ215" s="28"/>
      <c r="BA215" s="28"/>
      <c r="BB215" s="25">
        <v>3</v>
      </c>
      <c r="BC215" s="28"/>
      <c r="BD215" s="28"/>
      <c r="BE215" s="28"/>
    </row>
    <row r="216" ht="13.55" customHeight="1">
      <c r="A216" s="29">
        <v>6599645633</v>
      </c>
      <c r="B216" s="29">
        <v>167721399</v>
      </c>
      <c r="C216" s="30">
        <v>43091.552754629629</v>
      </c>
      <c r="D216" s="30">
        <v>43091.553877314807</v>
      </c>
      <c r="E216" t="s" s="31">
        <v>523</v>
      </c>
      <c r="F216" s="32"/>
      <c r="G216" s="32"/>
      <c r="H216" s="32"/>
      <c r="I216" s="32"/>
      <c r="J216" s="32"/>
      <c r="K216" s="32"/>
      <c r="L216" s="29">
        <v>3</v>
      </c>
      <c r="M216" s="32"/>
      <c r="N216" s="32"/>
      <c r="O216" s="32"/>
      <c r="P216" s="29">
        <v>1</v>
      </c>
      <c r="Q216" s="32"/>
      <c r="R216" s="32"/>
      <c r="S216" s="32"/>
      <c r="T216" s="32"/>
      <c r="U216" s="29">
        <v>4</v>
      </c>
      <c r="V216" s="32"/>
      <c r="W216" s="32"/>
      <c r="X216" s="32"/>
      <c r="Y216" s="32"/>
      <c r="Z216" s="32"/>
      <c r="AA216" s="29">
        <v>4</v>
      </c>
      <c r="AB216" s="32"/>
      <c r="AC216" s="32"/>
      <c r="AD216" s="32"/>
      <c r="AE216" s="32"/>
      <c r="AF216" s="32"/>
      <c r="AG216" s="29">
        <v>4</v>
      </c>
      <c r="AH216" s="32"/>
      <c r="AI216" s="32"/>
      <c r="AJ216" s="29">
        <v>1</v>
      </c>
      <c r="AK216" s="32"/>
      <c r="AL216" s="32"/>
      <c r="AM216" s="32"/>
      <c r="AN216" s="32"/>
      <c r="AO216" s="32"/>
      <c r="AP216" s="32"/>
      <c r="AQ216" t="s" s="31">
        <v>524</v>
      </c>
      <c r="AR216" s="32"/>
      <c r="AS216" s="32"/>
      <c r="AT216" s="32"/>
      <c r="AU216" s="29">
        <v>4</v>
      </c>
      <c r="AV216" s="32"/>
      <c r="AW216" s="32"/>
      <c r="AX216" s="32"/>
      <c r="AY216" s="32"/>
      <c r="AZ216" s="32"/>
      <c r="BA216" s="32"/>
      <c r="BB216" s="29">
        <v>3</v>
      </c>
      <c r="BC216" s="32"/>
      <c r="BD216" s="32"/>
      <c r="BE216" s="32"/>
    </row>
    <row r="217" ht="15" customHeight="1">
      <c r="A217" s="15">
        <v>6599643765</v>
      </c>
      <c r="B217" s="16">
        <v>167721399</v>
      </c>
      <c r="C217" s="17">
        <v>43091.552048611113</v>
      </c>
      <c r="D217" s="17">
        <v>43091.552754629629</v>
      </c>
      <c r="E217" t="s" s="18">
        <v>525</v>
      </c>
      <c r="F217" s="19"/>
      <c r="G217" s="19"/>
      <c r="H217" s="19"/>
      <c r="I217" s="19"/>
      <c r="J217" s="19"/>
      <c r="K217" s="16">
        <v>2</v>
      </c>
      <c r="L217" s="19"/>
      <c r="M217" s="19"/>
      <c r="N217" s="19"/>
      <c r="O217" s="19"/>
      <c r="P217" s="16">
        <v>1</v>
      </c>
      <c r="Q217" s="19"/>
      <c r="R217" s="19"/>
      <c r="S217" s="16">
        <v>2</v>
      </c>
      <c r="T217" s="19"/>
      <c r="U217" s="19"/>
      <c r="V217" s="19"/>
      <c r="W217" s="19"/>
      <c r="X217" s="19"/>
      <c r="Y217" s="16">
        <v>2</v>
      </c>
      <c r="Z217" s="19"/>
      <c r="AA217" s="19"/>
      <c r="AB217" s="19"/>
      <c r="AC217" s="19"/>
      <c r="AD217" s="19"/>
      <c r="AE217" s="16">
        <v>2</v>
      </c>
      <c r="AF217" s="19"/>
      <c r="AG217" s="19"/>
      <c r="AH217" s="19"/>
      <c r="AI217" s="19"/>
      <c r="AJ217" s="19"/>
      <c r="AK217" s="16">
        <v>2</v>
      </c>
      <c r="AL217" s="19"/>
      <c r="AM217" s="19"/>
      <c r="AN217" s="19"/>
      <c r="AO217" s="19"/>
      <c r="AP217" s="19"/>
      <c r="AQ217" t="s" s="18">
        <v>526</v>
      </c>
      <c r="AR217" s="19"/>
      <c r="AS217" s="19"/>
      <c r="AT217" s="19"/>
      <c r="AU217" s="16">
        <v>4</v>
      </c>
      <c r="AV217" s="19"/>
      <c r="AW217" s="19"/>
      <c r="AX217" s="19"/>
      <c r="AY217" s="19"/>
      <c r="AZ217" s="16">
        <v>1</v>
      </c>
      <c r="BA217" s="19"/>
      <c r="BB217" s="19"/>
      <c r="BC217" s="19"/>
      <c r="BD217" s="19"/>
      <c r="BE217" t="s" s="20">
        <v>348</v>
      </c>
    </row>
    <row r="218" ht="15" customHeight="1">
      <c r="A218" s="15">
        <v>6599640432</v>
      </c>
      <c r="B218" s="16">
        <v>167721399</v>
      </c>
      <c r="C218" s="17">
        <v>43091.548831018517</v>
      </c>
      <c r="D218" s="17">
        <v>43091.550694444442</v>
      </c>
      <c r="E218" t="s" s="18">
        <v>527</v>
      </c>
      <c r="F218" s="19"/>
      <c r="G218" s="19"/>
      <c r="H218" s="19"/>
      <c r="I218" s="19"/>
      <c r="J218" s="19"/>
      <c r="K218" s="16">
        <v>2</v>
      </c>
      <c r="L218" s="19"/>
      <c r="M218" s="19"/>
      <c r="N218" s="19"/>
      <c r="O218" s="19"/>
      <c r="P218" s="16">
        <v>1</v>
      </c>
      <c r="Q218" s="19"/>
      <c r="R218" s="19"/>
      <c r="S218" s="19"/>
      <c r="T218" s="19"/>
      <c r="U218" s="16">
        <v>4</v>
      </c>
      <c r="V218" s="19"/>
      <c r="W218" s="19"/>
      <c r="X218" s="19"/>
      <c r="Y218" s="19"/>
      <c r="Z218" s="19"/>
      <c r="AA218" s="19"/>
      <c r="AB218" s="16">
        <v>5</v>
      </c>
      <c r="AC218" s="19"/>
      <c r="AD218" s="19"/>
      <c r="AE218" s="19"/>
      <c r="AF218" s="19"/>
      <c r="AG218" s="19"/>
      <c r="AH218" s="16">
        <v>5</v>
      </c>
      <c r="AI218" s="19"/>
      <c r="AJ218" s="16">
        <v>1</v>
      </c>
      <c r="AK218" s="16">
        <v>2</v>
      </c>
      <c r="AL218" s="19"/>
      <c r="AM218" s="19"/>
      <c r="AN218" s="16">
        <v>5</v>
      </c>
      <c r="AO218" s="16">
        <v>6</v>
      </c>
      <c r="AP218" s="19"/>
      <c r="AQ218" t="s" s="18">
        <v>528</v>
      </c>
      <c r="AR218" s="19"/>
      <c r="AS218" s="19"/>
      <c r="AT218" s="16">
        <v>3</v>
      </c>
      <c r="AU218" s="19"/>
      <c r="AV218" s="19"/>
      <c r="AW218" s="19"/>
      <c r="AX218" s="19"/>
      <c r="AY218" s="19"/>
      <c r="AZ218" s="16">
        <v>1</v>
      </c>
      <c r="BA218" s="19"/>
      <c r="BB218" s="19"/>
      <c r="BC218" s="19"/>
      <c r="BD218" s="19"/>
      <c r="BE218" t="s" s="20">
        <v>529</v>
      </c>
    </row>
    <row r="219" ht="15" customHeight="1">
      <c r="A219" s="15">
        <v>6599637132</v>
      </c>
      <c r="B219" s="16">
        <v>167721399</v>
      </c>
      <c r="C219" s="17">
        <v>43091.546157407407</v>
      </c>
      <c r="D219" s="17">
        <v>43091.548761574071</v>
      </c>
      <c r="E219" t="s" s="18">
        <v>530</v>
      </c>
      <c r="F219" s="19"/>
      <c r="G219" s="19"/>
      <c r="H219" s="19"/>
      <c r="I219" s="19"/>
      <c r="J219" s="19"/>
      <c r="K219" s="19"/>
      <c r="L219" s="16">
        <v>3</v>
      </c>
      <c r="M219" s="19"/>
      <c r="N219" s="19"/>
      <c r="O219" s="19"/>
      <c r="P219" s="16">
        <v>1</v>
      </c>
      <c r="Q219" s="19"/>
      <c r="R219" s="19"/>
      <c r="S219" s="19"/>
      <c r="T219" s="16">
        <v>3</v>
      </c>
      <c r="U219" s="19"/>
      <c r="V219" s="19"/>
      <c r="W219" s="19"/>
      <c r="X219" s="19"/>
      <c r="Y219" s="19"/>
      <c r="Z219" s="16">
        <v>3</v>
      </c>
      <c r="AA219" s="19"/>
      <c r="AB219" s="19"/>
      <c r="AC219" s="19"/>
      <c r="AD219" s="19"/>
      <c r="AE219" s="19"/>
      <c r="AF219" s="16">
        <v>3</v>
      </c>
      <c r="AG219" s="19"/>
      <c r="AH219" s="19"/>
      <c r="AI219" s="19"/>
      <c r="AJ219" s="16">
        <v>1</v>
      </c>
      <c r="AK219" s="16">
        <v>2</v>
      </c>
      <c r="AL219" s="19"/>
      <c r="AM219" s="19"/>
      <c r="AN219" s="16">
        <v>5</v>
      </c>
      <c r="AO219" s="16">
        <v>6</v>
      </c>
      <c r="AP219" s="19"/>
      <c r="AQ219" t="s" s="18">
        <v>531</v>
      </c>
      <c r="AR219" s="19"/>
      <c r="AS219" s="19"/>
      <c r="AT219" s="19"/>
      <c r="AU219" s="19"/>
      <c r="AV219" s="19"/>
      <c r="AW219" s="19"/>
      <c r="AX219" s="19"/>
      <c r="AY219" s="16">
        <v>8</v>
      </c>
      <c r="AZ219" s="16">
        <v>1</v>
      </c>
      <c r="BA219" s="19"/>
      <c r="BB219" s="19"/>
      <c r="BC219" s="19"/>
      <c r="BD219" s="19"/>
      <c r="BE219" t="s" s="20">
        <v>532</v>
      </c>
    </row>
    <row r="220" ht="13.55" customHeight="1">
      <c r="A220" s="21">
        <v>6599633511</v>
      </c>
      <c r="B220" s="21">
        <v>167721399</v>
      </c>
      <c r="C220" s="22">
        <v>43091.545486111107</v>
      </c>
      <c r="D220" s="22">
        <v>43091.546643518523</v>
      </c>
      <c r="E220" t="s" s="23">
        <v>533</v>
      </c>
      <c r="F220" s="24"/>
      <c r="G220" s="24"/>
      <c r="H220" s="24"/>
      <c r="I220" s="24"/>
      <c r="J220" s="24"/>
      <c r="K220" s="21">
        <v>2</v>
      </c>
      <c r="L220" s="24"/>
      <c r="M220" s="24"/>
      <c r="N220" s="24"/>
      <c r="O220" s="24"/>
      <c r="P220" s="21">
        <v>1</v>
      </c>
      <c r="Q220" s="24"/>
      <c r="R220" s="21">
        <v>1</v>
      </c>
      <c r="S220" s="24"/>
      <c r="T220" s="24"/>
      <c r="U220" s="24"/>
      <c r="V220" s="24"/>
      <c r="W220" s="24"/>
      <c r="X220" s="24"/>
      <c r="Y220" s="21">
        <v>2</v>
      </c>
      <c r="Z220" s="24"/>
      <c r="AA220" s="24"/>
      <c r="AB220" s="24"/>
      <c r="AC220" s="24"/>
      <c r="AD220" s="24"/>
      <c r="AE220" s="21">
        <v>2</v>
      </c>
      <c r="AF220" s="24"/>
      <c r="AG220" s="24"/>
      <c r="AH220" s="24"/>
      <c r="AI220" s="24"/>
      <c r="AJ220" s="21">
        <v>1</v>
      </c>
      <c r="AK220" s="24"/>
      <c r="AL220" s="24"/>
      <c r="AM220" s="24"/>
      <c r="AN220" s="24"/>
      <c r="AO220" s="24"/>
      <c r="AP220" s="24"/>
      <c r="AQ220" t="s" s="23">
        <v>534</v>
      </c>
      <c r="AR220" s="21">
        <v>1</v>
      </c>
      <c r="AS220" s="24"/>
      <c r="AT220" s="24"/>
      <c r="AU220" s="24"/>
      <c r="AV220" s="24"/>
      <c r="AW220" s="24"/>
      <c r="AX220" s="24"/>
      <c r="AY220" s="24"/>
      <c r="AZ220" s="24"/>
      <c r="BA220" s="24"/>
      <c r="BB220" s="21">
        <v>3</v>
      </c>
      <c r="BC220" s="24"/>
      <c r="BD220" s="24"/>
      <c r="BE220" s="24"/>
    </row>
    <row r="221" ht="13.55" customHeight="1">
      <c r="A221" s="25">
        <v>6599627060</v>
      </c>
      <c r="B221" s="25">
        <v>167721399</v>
      </c>
      <c r="C221" s="26">
        <v>43091.539745370370</v>
      </c>
      <c r="D221" s="26">
        <v>43091.542870370373</v>
      </c>
      <c r="E221" t="s" s="27">
        <v>535</v>
      </c>
      <c r="F221" s="28"/>
      <c r="G221" s="28"/>
      <c r="H221" s="28"/>
      <c r="I221" s="28"/>
      <c r="J221" s="28"/>
      <c r="K221" s="25">
        <v>2</v>
      </c>
      <c r="L221" s="28"/>
      <c r="M221" s="28"/>
      <c r="N221" s="28"/>
      <c r="O221" s="28"/>
      <c r="P221" s="25">
        <v>1</v>
      </c>
      <c r="Q221" s="28"/>
      <c r="R221" s="28"/>
      <c r="S221" s="28"/>
      <c r="T221" s="25">
        <v>3</v>
      </c>
      <c r="U221" s="28"/>
      <c r="V221" s="28"/>
      <c r="W221" s="28"/>
      <c r="X221" s="28"/>
      <c r="Y221" s="28"/>
      <c r="Z221" s="25">
        <v>3</v>
      </c>
      <c r="AA221" s="28"/>
      <c r="AB221" s="28"/>
      <c r="AC221" s="28"/>
      <c r="AD221" s="28"/>
      <c r="AE221" s="28"/>
      <c r="AF221" s="25">
        <v>3</v>
      </c>
      <c r="AG221" s="28"/>
      <c r="AH221" s="28"/>
      <c r="AI221" s="28"/>
      <c r="AJ221" s="25">
        <v>1</v>
      </c>
      <c r="AK221" s="25">
        <v>2</v>
      </c>
      <c r="AL221" s="28"/>
      <c r="AM221" s="28"/>
      <c r="AN221" s="28"/>
      <c r="AO221" s="28"/>
      <c r="AP221" s="25">
        <v>7</v>
      </c>
      <c r="AQ221" t="s" s="27">
        <v>536</v>
      </c>
      <c r="AR221" s="28"/>
      <c r="AS221" s="25">
        <v>2</v>
      </c>
      <c r="AT221" s="28"/>
      <c r="AU221" s="28"/>
      <c r="AV221" s="28"/>
      <c r="AW221" s="28"/>
      <c r="AX221" s="28"/>
      <c r="AY221" s="28"/>
      <c r="AZ221" s="28"/>
      <c r="BA221" s="28"/>
      <c r="BB221" s="25">
        <v>3</v>
      </c>
      <c r="BC221" s="28"/>
      <c r="BD221" s="28"/>
      <c r="BE221" s="28"/>
    </row>
    <row r="222" ht="13.55" customHeight="1">
      <c r="A222" s="25">
        <v>6599614789</v>
      </c>
      <c r="B222" s="25">
        <v>167721399</v>
      </c>
      <c r="C222" s="26">
        <v>43091.535393518519</v>
      </c>
      <c r="D222" s="26">
        <v>43091.535949074067</v>
      </c>
      <c r="E222" t="s" s="27">
        <v>537</v>
      </c>
      <c r="F222" s="28"/>
      <c r="G222" s="28"/>
      <c r="H222" s="28"/>
      <c r="I222" s="28"/>
      <c r="J222" s="28"/>
      <c r="K222" s="25">
        <v>2</v>
      </c>
      <c r="L222" s="28"/>
      <c r="M222" s="28"/>
      <c r="N222" s="28"/>
      <c r="O222" s="28"/>
      <c r="P222" s="25">
        <v>1</v>
      </c>
      <c r="Q222" s="28"/>
      <c r="R222" s="28"/>
      <c r="S222" s="25">
        <v>2</v>
      </c>
      <c r="T222" s="28"/>
      <c r="U222" s="28"/>
      <c r="V222" s="28"/>
      <c r="W222" s="28"/>
      <c r="X222" s="28"/>
      <c r="Y222" s="25">
        <v>2</v>
      </c>
      <c r="Z222" s="28"/>
      <c r="AA222" s="28"/>
      <c r="AB222" s="28"/>
      <c r="AC222" s="28"/>
      <c r="AD222" s="28"/>
      <c r="AE222" s="25">
        <v>2</v>
      </c>
      <c r="AF222" s="28"/>
      <c r="AG222" s="28"/>
      <c r="AH222" s="28"/>
      <c r="AI222" s="28"/>
      <c r="AJ222" s="25">
        <v>1</v>
      </c>
      <c r="AK222" s="28"/>
      <c r="AL222" s="28"/>
      <c r="AM222" s="28"/>
      <c r="AN222" s="28"/>
      <c r="AO222" s="28"/>
      <c r="AP222" s="28"/>
      <c r="AQ222" t="s" s="27">
        <v>538</v>
      </c>
      <c r="AR222" s="28"/>
      <c r="AS222" s="25">
        <v>2</v>
      </c>
      <c r="AT222" s="28"/>
      <c r="AU222" s="28"/>
      <c r="AV222" s="28"/>
      <c r="AW222" s="28"/>
      <c r="AX222" s="28"/>
      <c r="AY222" s="28"/>
      <c r="AZ222" s="28"/>
      <c r="BA222" s="28"/>
      <c r="BB222" s="25">
        <v>3</v>
      </c>
      <c r="BC222" s="28"/>
      <c r="BD222" s="28"/>
      <c r="BE222" s="28"/>
    </row>
    <row r="223" ht="13.55" customHeight="1">
      <c r="A223" s="25">
        <v>6599614372</v>
      </c>
      <c r="B223" s="25">
        <v>167721399</v>
      </c>
      <c r="C223" s="26">
        <v>43091.534525462957</v>
      </c>
      <c r="D223" s="26">
        <v>43091.535717592589</v>
      </c>
      <c r="E223" t="s" s="27">
        <v>539</v>
      </c>
      <c r="F223" s="28"/>
      <c r="G223" s="28"/>
      <c r="H223" s="28"/>
      <c r="I223" s="28"/>
      <c r="J223" s="28"/>
      <c r="K223" s="28"/>
      <c r="L223" s="25">
        <v>3</v>
      </c>
      <c r="M223" s="28"/>
      <c r="N223" s="28"/>
      <c r="O223" s="28"/>
      <c r="P223" s="25">
        <v>1</v>
      </c>
      <c r="Q223" s="28"/>
      <c r="R223" s="28"/>
      <c r="S223" s="25">
        <v>2</v>
      </c>
      <c r="T223" s="28"/>
      <c r="U223" s="28"/>
      <c r="V223" s="28"/>
      <c r="W223" s="28"/>
      <c r="X223" s="28"/>
      <c r="Y223" s="28"/>
      <c r="Z223" s="25">
        <v>3</v>
      </c>
      <c r="AA223" s="28"/>
      <c r="AB223" s="28"/>
      <c r="AC223" s="28"/>
      <c r="AD223" s="28"/>
      <c r="AE223" s="25">
        <v>2</v>
      </c>
      <c r="AF223" s="28"/>
      <c r="AG223" s="28"/>
      <c r="AH223" s="28"/>
      <c r="AI223" s="28"/>
      <c r="AJ223" s="25">
        <v>1</v>
      </c>
      <c r="AK223" s="28"/>
      <c r="AL223" s="28"/>
      <c r="AM223" s="28"/>
      <c r="AN223" s="28"/>
      <c r="AO223" s="25">
        <v>6</v>
      </c>
      <c r="AP223" s="28"/>
      <c r="AQ223" t="s" s="27">
        <v>540</v>
      </c>
      <c r="AR223" s="28"/>
      <c r="AS223" s="25">
        <v>2</v>
      </c>
      <c r="AT223" s="28"/>
      <c r="AU223" s="28"/>
      <c r="AV223" s="28"/>
      <c r="AW223" s="28"/>
      <c r="AX223" s="28"/>
      <c r="AY223" s="28"/>
      <c r="AZ223" s="28"/>
      <c r="BA223" s="28"/>
      <c r="BB223" s="25">
        <v>3</v>
      </c>
      <c r="BC223" s="28"/>
      <c r="BD223" s="28"/>
      <c r="BE223" s="28"/>
    </row>
    <row r="224" ht="13.55" customHeight="1">
      <c r="A224" s="25">
        <v>6599611081</v>
      </c>
      <c r="B224" s="25">
        <v>167721399</v>
      </c>
      <c r="C224" s="26">
        <v>43091.532939814817</v>
      </c>
      <c r="D224" s="26">
        <v>43091.533923611110</v>
      </c>
      <c r="E224" t="s" s="27">
        <v>541</v>
      </c>
      <c r="F224" s="28"/>
      <c r="G224" s="28"/>
      <c r="H224" s="28"/>
      <c r="I224" s="28"/>
      <c r="J224" s="28"/>
      <c r="K224" s="28"/>
      <c r="L224" s="28"/>
      <c r="M224" s="25">
        <v>4</v>
      </c>
      <c r="N224" s="28"/>
      <c r="O224" s="28"/>
      <c r="P224" s="25">
        <v>1</v>
      </c>
      <c r="Q224" s="28"/>
      <c r="R224" s="28"/>
      <c r="S224" s="28"/>
      <c r="T224" s="25">
        <v>3</v>
      </c>
      <c r="U224" s="28"/>
      <c r="V224" s="28"/>
      <c r="W224" s="28"/>
      <c r="X224" s="28"/>
      <c r="Y224" s="28"/>
      <c r="Z224" s="25">
        <v>3</v>
      </c>
      <c r="AA224" s="28"/>
      <c r="AB224" s="28"/>
      <c r="AC224" s="28"/>
      <c r="AD224" s="28"/>
      <c r="AE224" s="28"/>
      <c r="AF224" s="25">
        <v>3</v>
      </c>
      <c r="AG224" s="28"/>
      <c r="AH224" s="28"/>
      <c r="AI224" s="28"/>
      <c r="AJ224" s="25">
        <v>1</v>
      </c>
      <c r="AK224" s="28"/>
      <c r="AL224" s="28"/>
      <c r="AM224" s="28"/>
      <c r="AN224" s="28"/>
      <c r="AO224" s="28"/>
      <c r="AP224" s="28"/>
      <c r="AQ224" t="s" s="27">
        <v>542</v>
      </c>
      <c r="AR224" s="28"/>
      <c r="AS224" s="28"/>
      <c r="AT224" s="25">
        <v>3</v>
      </c>
      <c r="AU224" s="28"/>
      <c r="AV224" s="28"/>
      <c r="AW224" s="28"/>
      <c r="AX224" s="28"/>
      <c r="AY224" s="28"/>
      <c r="AZ224" s="28"/>
      <c r="BA224" s="28"/>
      <c r="BB224" s="25">
        <v>3</v>
      </c>
      <c r="BC224" s="28"/>
      <c r="BD224" s="28"/>
      <c r="BE224" s="28"/>
    </row>
    <row r="225" ht="13.55" customHeight="1">
      <c r="A225" s="29">
        <v>6599605949</v>
      </c>
      <c r="B225" s="29">
        <v>167721399</v>
      </c>
      <c r="C225" s="30">
        <v>43091.529502314806</v>
      </c>
      <c r="D225" s="30">
        <v>43091.531388888892</v>
      </c>
      <c r="E225" t="s" s="31">
        <v>543</v>
      </c>
      <c r="F225" s="32"/>
      <c r="G225" s="32"/>
      <c r="H225" s="32"/>
      <c r="I225" s="32"/>
      <c r="J225" s="32"/>
      <c r="K225" s="29">
        <v>2</v>
      </c>
      <c r="L225" s="32"/>
      <c r="M225" s="32"/>
      <c r="N225" s="32"/>
      <c r="O225" s="32"/>
      <c r="P225" s="29">
        <v>1</v>
      </c>
      <c r="Q225" s="32"/>
      <c r="R225" s="32"/>
      <c r="S225" s="32"/>
      <c r="T225" s="29">
        <v>3</v>
      </c>
      <c r="U225" s="32"/>
      <c r="V225" s="32"/>
      <c r="W225" s="32"/>
      <c r="X225" s="32"/>
      <c r="Y225" s="32"/>
      <c r="Z225" s="32"/>
      <c r="AA225" s="29">
        <v>4</v>
      </c>
      <c r="AB225" s="32"/>
      <c r="AC225" s="32"/>
      <c r="AD225" s="32"/>
      <c r="AE225" s="32"/>
      <c r="AF225" s="32"/>
      <c r="AG225" s="29">
        <v>4</v>
      </c>
      <c r="AH225" s="32"/>
      <c r="AI225" s="32"/>
      <c r="AJ225" s="29">
        <v>1</v>
      </c>
      <c r="AK225" s="29">
        <v>2</v>
      </c>
      <c r="AL225" s="32"/>
      <c r="AM225" s="32"/>
      <c r="AN225" s="32"/>
      <c r="AO225" s="32"/>
      <c r="AP225" s="29">
        <v>7</v>
      </c>
      <c r="AQ225" t="s" s="31">
        <v>544</v>
      </c>
      <c r="AR225" s="32"/>
      <c r="AS225" s="32"/>
      <c r="AT225" s="29">
        <v>3</v>
      </c>
      <c r="AU225" s="32"/>
      <c r="AV225" s="32"/>
      <c r="AW225" s="32"/>
      <c r="AX225" s="32"/>
      <c r="AY225" s="32"/>
      <c r="AZ225" s="32"/>
      <c r="BA225" s="32"/>
      <c r="BB225" s="29">
        <v>3</v>
      </c>
      <c r="BC225" s="32"/>
      <c r="BD225" s="32"/>
      <c r="BE225" s="32"/>
    </row>
    <row r="226" ht="15" customHeight="1">
      <c r="A226" s="15">
        <v>6599602842</v>
      </c>
      <c r="B226" s="16">
        <v>167721399</v>
      </c>
      <c r="C226" s="17">
        <v>43091.528553240743</v>
      </c>
      <c r="D226" s="17">
        <v>43091.529756944437</v>
      </c>
      <c r="E226" t="s" s="18">
        <v>545</v>
      </c>
      <c r="F226" s="19"/>
      <c r="G226" s="19"/>
      <c r="H226" s="19"/>
      <c r="I226" s="19"/>
      <c r="J226" s="19"/>
      <c r="K226" s="16">
        <v>2</v>
      </c>
      <c r="L226" s="19"/>
      <c r="M226" s="19"/>
      <c r="N226" s="19"/>
      <c r="O226" s="19"/>
      <c r="P226" s="16">
        <v>1</v>
      </c>
      <c r="Q226" s="19"/>
      <c r="R226" s="19"/>
      <c r="S226" s="19"/>
      <c r="T226" s="19"/>
      <c r="U226" s="16">
        <v>4</v>
      </c>
      <c r="V226" s="19"/>
      <c r="W226" s="19"/>
      <c r="X226" s="16">
        <v>1</v>
      </c>
      <c r="Y226" s="19"/>
      <c r="Z226" s="19"/>
      <c r="AA226" s="19"/>
      <c r="AB226" s="19"/>
      <c r="AC226" s="19"/>
      <c r="AD226" s="16">
        <v>1</v>
      </c>
      <c r="AE226" s="19"/>
      <c r="AF226" s="19"/>
      <c r="AG226" s="19"/>
      <c r="AH226" s="19"/>
      <c r="AI226" s="19"/>
      <c r="AJ226" s="19"/>
      <c r="AK226" s="19"/>
      <c r="AL226" s="19"/>
      <c r="AM226" s="19"/>
      <c r="AN226" s="19"/>
      <c r="AO226" s="16">
        <v>6</v>
      </c>
      <c r="AP226" s="19"/>
      <c r="AQ226" t="s" s="18">
        <v>546</v>
      </c>
      <c r="AR226" s="19"/>
      <c r="AS226" s="19"/>
      <c r="AT226" s="19"/>
      <c r="AU226" s="19"/>
      <c r="AV226" s="16">
        <v>5</v>
      </c>
      <c r="AW226" s="19"/>
      <c r="AX226" s="19"/>
      <c r="AY226" s="19"/>
      <c r="AZ226" s="16">
        <v>1</v>
      </c>
      <c r="BA226" s="19"/>
      <c r="BB226" s="19"/>
      <c r="BC226" s="19"/>
      <c r="BD226" s="19"/>
      <c r="BE226" t="s" s="20">
        <v>547</v>
      </c>
    </row>
    <row r="227" ht="13.55" customHeight="1">
      <c r="A227" s="21">
        <v>6599601725</v>
      </c>
      <c r="B227" s="21">
        <v>167721399</v>
      </c>
      <c r="C227" s="22">
        <v>43091.527256944442</v>
      </c>
      <c r="D227" s="22">
        <v>43091.529120370367</v>
      </c>
      <c r="E227" t="s" s="23">
        <v>548</v>
      </c>
      <c r="F227" s="24"/>
      <c r="G227" s="24"/>
      <c r="H227" s="24"/>
      <c r="I227" s="24"/>
      <c r="J227" s="24"/>
      <c r="K227" s="21">
        <v>2</v>
      </c>
      <c r="L227" s="24"/>
      <c r="M227" s="24"/>
      <c r="N227" s="24"/>
      <c r="O227" s="24"/>
      <c r="P227" s="21">
        <v>1</v>
      </c>
      <c r="Q227" s="24"/>
      <c r="R227" s="24"/>
      <c r="S227" s="21">
        <v>2</v>
      </c>
      <c r="T227" s="24"/>
      <c r="U227" s="24"/>
      <c r="V227" s="24"/>
      <c r="W227" s="24"/>
      <c r="X227" s="24"/>
      <c r="Y227" s="24"/>
      <c r="Z227" s="21">
        <v>3</v>
      </c>
      <c r="AA227" s="24"/>
      <c r="AB227" s="24"/>
      <c r="AC227" s="24"/>
      <c r="AD227" s="24"/>
      <c r="AE227" s="21">
        <v>2</v>
      </c>
      <c r="AF227" s="24"/>
      <c r="AG227" s="24"/>
      <c r="AH227" s="24"/>
      <c r="AI227" s="24"/>
      <c r="AJ227" s="21">
        <v>1</v>
      </c>
      <c r="AK227" s="24"/>
      <c r="AL227" s="24"/>
      <c r="AM227" s="24"/>
      <c r="AN227" s="24"/>
      <c r="AO227" s="24"/>
      <c r="AP227" s="24"/>
      <c r="AQ227" t="s" s="23">
        <v>549</v>
      </c>
      <c r="AR227" s="24"/>
      <c r="AS227" s="24"/>
      <c r="AT227" s="21">
        <v>3</v>
      </c>
      <c r="AU227" s="24"/>
      <c r="AV227" s="24"/>
      <c r="AW227" s="24"/>
      <c r="AX227" s="24"/>
      <c r="AY227" s="24"/>
      <c r="AZ227" s="24"/>
      <c r="BA227" s="24"/>
      <c r="BB227" s="21">
        <v>3</v>
      </c>
      <c r="BC227" s="24"/>
      <c r="BD227" s="24"/>
      <c r="BE227" s="24"/>
    </row>
    <row r="228" ht="13.55" customHeight="1">
      <c r="A228" s="25">
        <v>6599599527</v>
      </c>
      <c r="B228" s="25">
        <v>167721399</v>
      </c>
      <c r="C228" s="26">
        <v>43091.527245370373</v>
      </c>
      <c r="D228" s="26">
        <v>43091.527847222220</v>
      </c>
      <c r="E228" t="s" s="27">
        <v>550</v>
      </c>
      <c r="F228" s="28"/>
      <c r="G228" s="28"/>
      <c r="H228" s="28"/>
      <c r="I228" s="28"/>
      <c r="J228" s="28"/>
      <c r="K228" s="25">
        <v>2</v>
      </c>
      <c r="L228" s="28"/>
      <c r="M228" s="28"/>
      <c r="N228" s="28"/>
      <c r="O228" s="28"/>
      <c r="P228" s="25">
        <v>1</v>
      </c>
      <c r="Q228" s="28"/>
      <c r="R228" s="28"/>
      <c r="S228" s="25">
        <v>2</v>
      </c>
      <c r="T228" s="28"/>
      <c r="U228" s="28"/>
      <c r="V228" s="28"/>
      <c r="W228" s="28"/>
      <c r="X228" s="28"/>
      <c r="Y228" s="28"/>
      <c r="Z228" s="28"/>
      <c r="AA228" s="25">
        <v>4</v>
      </c>
      <c r="AB228" s="28"/>
      <c r="AC228" s="28"/>
      <c r="AD228" s="28"/>
      <c r="AE228" s="28"/>
      <c r="AF228" s="28"/>
      <c r="AG228" s="25">
        <v>4</v>
      </c>
      <c r="AH228" s="28"/>
      <c r="AI228" s="28"/>
      <c r="AJ228" s="25">
        <v>1</v>
      </c>
      <c r="AK228" s="25">
        <v>2</v>
      </c>
      <c r="AL228" s="28"/>
      <c r="AM228" s="28"/>
      <c r="AN228" s="28"/>
      <c r="AO228" s="25">
        <v>6</v>
      </c>
      <c r="AP228" s="25">
        <v>7</v>
      </c>
      <c r="AQ228" t="s" s="27">
        <v>551</v>
      </c>
      <c r="AR228" s="28"/>
      <c r="AS228" s="25">
        <v>2</v>
      </c>
      <c r="AT228" s="28"/>
      <c r="AU228" s="28"/>
      <c r="AV228" s="28"/>
      <c r="AW228" s="28"/>
      <c r="AX228" s="28"/>
      <c r="AY228" s="28"/>
      <c r="AZ228" s="28"/>
      <c r="BA228" s="28"/>
      <c r="BB228" s="25">
        <v>3</v>
      </c>
      <c r="BC228" s="28"/>
      <c r="BD228" s="28"/>
      <c r="BE228" s="28"/>
    </row>
    <row r="229" ht="13.55" customHeight="1">
      <c r="A229" s="25">
        <v>6599597837</v>
      </c>
      <c r="B229" s="25">
        <v>167721399</v>
      </c>
      <c r="C229" s="26">
        <v>43091.525370370371</v>
      </c>
      <c r="D229" s="26">
        <v>43091.5268287037</v>
      </c>
      <c r="E229" t="s" s="27">
        <v>552</v>
      </c>
      <c r="F229" s="28"/>
      <c r="G229" s="28"/>
      <c r="H229" s="28"/>
      <c r="I229" s="28"/>
      <c r="J229" s="28"/>
      <c r="K229" s="28"/>
      <c r="L229" s="25">
        <v>3</v>
      </c>
      <c r="M229" s="28"/>
      <c r="N229" s="28"/>
      <c r="O229" s="28"/>
      <c r="P229" s="25">
        <v>1</v>
      </c>
      <c r="Q229" s="28"/>
      <c r="R229" s="28"/>
      <c r="S229" s="28"/>
      <c r="T229" s="28"/>
      <c r="U229" s="28"/>
      <c r="V229" s="25">
        <v>5</v>
      </c>
      <c r="W229" s="28"/>
      <c r="X229" s="28"/>
      <c r="Y229" s="28"/>
      <c r="Z229" s="28"/>
      <c r="AA229" s="25">
        <v>4</v>
      </c>
      <c r="AB229" s="28"/>
      <c r="AC229" s="28"/>
      <c r="AD229" s="28"/>
      <c r="AE229" s="25">
        <v>2</v>
      </c>
      <c r="AF229" s="28"/>
      <c r="AG229" s="28"/>
      <c r="AH229" s="28"/>
      <c r="AI229" s="28"/>
      <c r="AJ229" s="25">
        <v>1</v>
      </c>
      <c r="AK229" s="28"/>
      <c r="AL229" s="28"/>
      <c r="AM229" s="28"/>
      <c r="AN229" s="28"/>
      <c r="AO229" s="25">
        <v>6</v>
      </c>
      <c r="AP229" s="28"/>
      <c r="AQ229" t="s" s="27">
        <v>553</v>
      </c>
      <c r="AR229" s="28"/>
      <c r="AS229" s="25">
        <v>2</v>
      </c>
      <c r="AT229" s="28"/>
      <c r="AU229" s="28"/>
      <c r="AV229" s="28"/>
      <c r="AW229" s="28"/>
      <c r="AX229" s="28"/>
      <c r="AY229" s="28"/>
      <c r="AZ229" s="28"/>
      <c r="BA229" s="28"/>
      <c r="BB229" s="25">
        <v>3</v>
      </c>
      <c r="BC229" s="28"/>
      <c r="BD229" s="28"/>
      <c r="BE229" s="28"/>
    </row>
    <row r="230" ht="13.55" customHeight="1">
      <c r="A230" s="25">
        <v>6599587601</v>
      </c>
      <c r="B230" s="25">
        <v>167721399</v>
      </c>
      <c r="C230" s="26">
        <v>43091.504652777781</v>
      </c>
      <c r="D230" s="26">
        <v>43091.505833333344</v>
      </c>
      <c r="E230" t="s" s="27">
        <v>554</v>
      </c>
      <c r="F230" s="28"/>
      <c r="G230" s="28"/>
      <c r="H230" s="28"/>
      <c r="I230" s="28"/>
      <c r="J230" s="28"/>
      <c r="K230" s="28"/>
      <c r="L230" s="25">
        <v>3</v>
      </c>
      <c r="M230" s="28"/>
      <c r="N230" s="28"/>
      <c r="O230" s="28"/>
      <c r="P230" s="25">
        <v>1</v>
      </c>
      <c r="Q230" s="28"/>
      <c r="R230" s="28"/>
      <c r="S230" s="28"/>
      <c r="T230" s="28"/>
      <c r="U230" s="28"/>
      <c r="V230" s="25">
        <v>5</v>
      </c>
      <c r="W230" s="28"/>
      <c r="X230" s="28"/>
      <c r="Y230" s="28"/>
      <c r="Z230" s="28"/>
      <c r="AA230" s="25">
        <v>4</v>
      </c>
      <c r="AB230" s="28"/>
      <c r="AC230" s="28"/>
      <c r="AD230" s="28"/>
      <c r="AE230" s="28"/>
      <c r="AF230" s="28"/>
      <c r="AG230" s="25">
        <v>4</v>
      </c>
      <c r="AH230" s="28"/>
      <c r="AI230" s="28"/>
      <c r="AJ230" s="25">
        <v>1</v>
      </c>
      <c r="AK230" s="28"/>
      <c r="AL230" s="28"/>
      <c r="AM230" s="25">
        <v>4</v>
      </c>
      <c r="AN230" s="28"/>
      <c r="AO230" s="28"/>
      <c r="AP230" s="28"/>
      <c r="AQ230" t="s" s="27">
        <v>555</v>
      </c>
      <c r="AR230" s="28"/>
      <c r="AS230" s="28"/>
      <c r="AT230" s="28"/>
      <c r="AU230" s="25">
        <v>4</v>
      </c>
      <c r="AV230" s="28"/>
      <c r="AW230" s="28"/>
      <c r="AX230" s="28"/>
      <c r="AY230" s="28"/>
      <c r="AZ230" s="28"/>
      <c r="BA230" s="28"/>
      <c r="BB230" s="25">
        <v>3</v>
      </c>
      <c r="BC230" s="28"/>
      <c r="BD230" s="28"/>
      <c r="BE230" s="28"/>
    </row>
    <row r="231" ht="13.55" customHeight="1">
      <c r="A231" s="25">
        <v>6599585345</v>
      </c>
      <c r="B231" s="25">
        <v>167721399</v>
      </c>
      <c r="C231" s="26">
        <v>43091.503923611112</v>
      </c>
      <c r="D231" s="26">
        <v>43091.504583333342</v>
      </c>
      <c r="E231" t="s" s="27">
        <v>556</v>
      </c>
      <c r="F231" s="28"/>
      <c r="G231" s="28"/>
      <c r="H231" s="28"/>
      <c r="I231" s="28"/>
      <c r="J231" s="28"/>
      <c r="K231" s="25">
        <v>2</v>
      </c>
      <c r="L231" s="28"/>
      <c r="M231" s="28"/>
      <c r="N231" s="28"/>
      <c r="O231" s="28"/>
      <c r="P231" s="25">
        <v>1</v>
      </c>
      <c r="Q231" s="28"/>
      <c r="R231" s="28"/>
      <c r="S231" s="25">
        <v>2</v>
      </c>
      <c r="T231" s="28"/>
      <c r="U231" s="28"/>
      <c r="V231" s="28"/>
      <c r="W231" s="28"/>
      <c r="X231" s="28"/>
      <c r="Y231" s="28"/>
      <c r="Z231" s="25">
        <v>3</v>
      </c>
      <c r="AA231" s="28"/>
      <c r="AB231" s="28"/>
      <c r="AC231" s="28"/>
      <c r="AD231" s="28"/>
      <c r="AE231" s="28"/>
      <c r="AF231" s="25">
        <v>3</v>
      </c>
      <c r="AG231" s="28"/>
      <c r="AH231" s="28"/>
      <c r="AI231" s="28"/>
      <c r="AJ231" s="25">
        <v>1</v>
      </c>
      <c r="AK231" s="28"/>
      <c r="AL231" s="28"/>
      <c r="AM231" s="28"/>
      <c r="AN231" s="28"/>
      <c r="AO231" s="28"/>
      <c r="AP231" s="28"/>
      <c r="AQ231" t="s" s="27">
        <v>557</v>
      </c>
      <c r="AR231" s="28"/>
      <c r="AS231" s="28"/>
      <c r="AT231" s="25">
        <v>3</v>
      </c>
      <c r="AU231" s="28"/>
      <c r="AV231" s="28"/>
      <c r="AW231" s="28"/>
      <c r="AX231" s="28"/>
      <c r="AY231" s="28"/>
      <c r="AZ231" s="28"/>
      <c r="BA231" s="28"/>
      <c r="BB231" s="25">
        <v>3</v>
      </c>
      <c r="BC231" s="28"/>
      <c r="BD231" s="28"/>
      <c r="BE231" s="28"/>
    </row>
    <row r="232" ht="13.55" customHeight="1">
      <c r="A232" s="25">
        <v>6599579340</v>
      </c>
      <c r="B232" s="25">
        <v>167721399</v>
      </c>
      <c r="C232" s="26">
        <v>43091.500543981478</v>
      </c>
      <c r="D232" s="26">
        <v>43091.501238425917</v>
      </c>
      <c r="E232" t="s" s="27">
        <v>558</v>
      </c>
      <c r="F232" s="28"/>
      <c r="G232" s="28"/>
      <c r="H232" s="28"/>
      <c r="I232" s="28"/>
      <c r="J232" s="28"/>
      <c r="K232" s="25">
        <v>2</v>
      </c>
      <c r="L232" s="28"/>
      <c r="M232" s="28"/>
      <c r="N232" s="28"/>
      <c r="O232" s="28"/>
      <c r="P232" s="25">
        <v>1</v>
      </c>
      <c r="Q232" s="28"/>
      <c r="R232" s="28"/>
      <c r="S232" s="28"/>
      <c r="T232" s="25">
        <v>3</v>
      </c>
      <c r="U232" s="28"/>
      <c r="V232" s="28"/>
      <c r="W232" s="28"/>
      <c r="X232" s="28"/>
      <c r="Y232" s="28"/>
      <c r="Z232" s="25">
        <v>3</v>
      </c>
      <c r="AA232" s="28"/>
      <c r="AB232" s="28"/>
      <c r="AC232" s="28"/>
      <c r="AD232" s="28"/>
      <c r="AE232" s="25">
        <v>2</v>
      </c>
      <c r="AF232" s="28"/>
      <c r="AG232" s="28"/>
      <c r="AH232" s="28"/>
      <c r="AI232" s="28"/>
      <c r="AJ232" s="25">
        <v>1</v>
      </c>
      <c r="AK232" s="28"/>
      <c r="AL232" s="28"/>
      <c r="AM232" s="28"/>
      <c r="AN232" s="28"/>
      <c r="AO232" s="28"/>
      <c r="AP232" s="28"/>
      <c r="AQ232" t="s" s="27">
        <v>559</v>
      </c>
      <c r="AR232" s="28"/>
      <c r="AS232" s="28"/>
      <c r="AT232" s="25">
        <v>3</v>
      </c>
      <c r="AU232" s="28"/>
      <c r="AV232" s="28"/>
      <c r="AW232" s="28"/>
      <c r="AX232" s="28"/>
      <c r="AY232" s="28"/>
      <c r="AZ232" s="28"/>
      <c r="BA232" s="28"/>
      <c r="BB232" s="25">
        <v>3</v>
      </c>
      <c r="BC232" s="28"/>
      <c r="BD232" s="28"/>
      <c r="BE232" s="28"/>
    </row>
    <row r="233" ht="13.55" customHeight="1">
      <c r="A233" s="25">
        <v>6599567770</v>
      </c>
      <c r="B233" s="25">
        <v>167721399</v>
      </c>
      <c r="C233" s="26">
        <v>43091.492673611108</v>
      </c>
      <c r="D233" s="26">
        <v>43091.494768518518</v>
      </c>
      <c r="E233" t="s" s="27">
        <v>560</v>
      </c>
      <c r="F233" s="28"/>
      <c r="G233" s="28"/>
      <c r="H233" s="28"/>
      <c r="I233" s="28"/>
      <c r="J233" s="28"/>
      <c r="K233" s="25">
        <v>2</v>
      </c>
      <c r="L233" s="28"/>
      <c r="M233" s="28"/>
      <c r="N233" s="28"/>
      <c r="O233" s="28"/>
      <c r="P233" s="25">
        <v>1</v>
      </c>
      <c r="Q233" s="28"/>
      <c r="R233" s="28"/>
      <c r="S233" s="25">
        <v>2</v>
      </c>
      <c r="T233" s="28"/>
      <c r="U233" s="28"/>
      <c r="V233" s="28"/>
      <c r="W233" s="28"/>
      <c r="X233" s="28"/>
      <c r="Y233" s="28"/>
      <c r="Z233" s="25">
        <v>3</v>
      </c>
      <c r="AA233" s="28"/>
      <c r="AB233" s="28"/>
      <c r="AC233" s="28"/>
      <c r="AD233" s="28"/>
      <c r="AE233" s="28"/>
      <c r="AF233" s="28"/>
      <c r="AG233" s="25">
        <v>4</v>
      </c>
      <c r="AH233" s="28"/>
      <c r="AI233" s="28"/>
      <c r="AJ233" s="25">
        <v>1</v>
      </c>
      <c r="AK233" s="25">
        <v>2</v>
      </c>
      <c r="AL233" s="28"/>
      <c r="AM233" s="28"/>
      <c r="AN233" s="28"/>
      <c r="AO233" s="28"/>
      <c r="AP233" s="28"/>
      <c r="AQ233" t="s" s="27">
        <v>561</v>
      </c>
      <c r="AR233" s="28"/>
      <c r="AS233" s="25">
        <v>2</v>
      </c>
      <c r="AT233" s="28"/>
      <c r="AU233" s="28"/>
      <c r="AV233" s="28"/>
      <c r="AW233" s="28"/>
      <c r="AX233" s="28"/>
      <c r="AY233" s="28"/>
      <c r="AZ233" s="28"/>
      <c r="BA233" s="28"/>
      <c r="BB233" s="25">
        <v>3</v>
      </c>
      <c r="BC233" s="28"/>
      <c r="BD233" s="28"/>
      <c r="BE233" s="28"/>
    </row>
    <row r="234" ht="13.55" customHeight="1">
      <c r="A234" s="25">
        <v>6599566080</v>
      </c>
      <c r="B234" s="25">
        <v>167721399</v>
      </c>
      <c r="C234" s="26">
        <v>43091.492789351847</v>
      </c>
      <c r="D234" s="26">
        <v>43091.493807870371</v>
      </c>
      <c r="E234" t="s" s="27">
        <v>562</v>
      </c>
      <c r="F234" s="28"/>
      <c r="G234" s="28"/>
      <c r="H234" s="28"/>
      <c r="I234" s="28"/>
      <c r="J234" s="28"/>
      <c r="K234" s="28"/>
      <c r="L234" s="25">
        <v>3</v>
      </c>
      <c r="M234" s="28"/>
      <c r="N234" s="28"/>
      <c r="O234" s="28"/>
      <c r="P234" s="25">
        <v>1</v>
      </c>
      <c r="Q234" s="28"/>
      <c r="R234" s="28"/>
      <c r="S234" s="28"/>
      <c r="T234" s="25">
        <v>3</v>
      </c>
      <c r="U234" s="28"/>
      <c r="V234" s="28"/>
      <c r="W234" s="28"/>
      <c r="X234" s="28"/>
      <c r="Y234" s="28"/>
      <c r="Z234" s="25">
        <v>3</v>
      </c>
      <c r="AA234" s="28"/>
      <c r="AB234" s="28"/>
      <c r="AC234" s="28"/>
      <c r="AD234" s="28"/>
      <c r="AE234" s="28"/>
      <c r="AF234" s="25">
        <v>3</v>
      </c>
      <c r="AG234" s="28"/>
      <c r="AH234" s="28"/>
      <c r="AI234" s="28"/>
      <c r="AJ234" s="25">
        <v>1</v>
      </c>
      <c r="AK234" s="28"/>
      <c r="AL234" s="28"/>
      <c r="AM234" s="28"/>
      <c r="AN234" s="28"/>
      <c r="AO234" s="28"/>
      <c r="AP234" s="28"/>
      <c r="AQ234" t="s" s="27">
        <v>563</v>
      </c>
      <c r="AR234" s="28"/>
      <c r="AS234" s="28"/>
      <c r="AT234" s="25">
        <v>3</v>
      </c>
      <c r="AU234" s="28"/>
      <c r="AV234" s="28"/>
      <c r="AW234" s="28"/>
      <c r="AX234" s="28"/>
      <c r="AY234" s="28"/>
      <c r="AZ234" s="28"/>
      <c r="BA234" s="28"/>
      <c r="BB234" s="25">
        <v>3</v>
      </c>
      <c r="BC234" s="28"/>
      <c r="BD234" s="28"/>
      <c r="BE234" s="28"/>
    </row>
    <row r="235" ht="13.55" customHeight="1">
      <c r="A235" s="25">
        <v>6599551878</v>
      </c>
      <c r="B235" s="25">
        <v>167721399</v>
      </c>
      <c r="C235" s="26">
        <v>43091.484768518523</v>
      </c>
      <c r="D235" s="26">
        <v>43091.486111111109</v>
      </c>
      <c r="E235" t="s" s="27">
        <v>564</v>
      </c>
      <c r="F235" s="28"/>
      <c r="G235" s="28"/>
      <c r="H235" s="28"/>
      <c r="I235" s="28"/>
      <c r="J235" s="28"/>
      <c r="K235" s="28"/>
      <c r="L235" s="28"/>
      <c r="M235" s="25">
        <v>4</v>
      </c>
      <c r="N235" s="28"/>
      <c r="O235" s="28"/>
      <c r="P235" s="25">
        <v>1</v>
      </c>
      <c r="Q235" s="28"/>
      <c r="R235" s="28"/>
      <c r="S235" s="25">
        <v>2</v>
      </c>
      <c r="T235" s="28"/>
      <c r="U235" s="28"/>
      <c r="V235" s="28"/>
      <c r="W235" s="28"/>
      <c r="X235" s="28"/>
      <c r="Y235" s="28"/>
      <c r="Z235" s="25">
        <v>3</v>
      </c>
      <c r="AA235" s="28"/>
      <c r="AB235" s="28"/>
      <c r="AC235" s="28"/>
      <c r="AD235" s="28"/>
      <c r="AE235" s="25">
        <v>2</v>
      </c>
      <c r="AF235" s="28"/>
      <c r="AG235" s="28"/>
      <c r="AH235" s="28"/>
      <c r="AI235" s="28"/>
      <c r="AJ235" s="25">
        <v>1</v>
      </c>
      <c r="AK235" s="28"/>
      <c r="AL235" s="28"/>
      <c r="AM235" s="28"/>
      <c r="AN235" s="28"/>
      <c r="AO235" s="25">
        <v>6</v>
      </c>
      <c r="AP235" s="28"/>
      <c r="AQ235" t="s" s="27">
        <v>565</v>
      </c>
      <c r="AR235" s="28"/>
      <c r="AS235" s="28"/>
      <c r="AT235" s="28"/>
      <c r="AU235" s="28"/>
      <c r="AV235" s="28"/>
      <c r="AW235" s="28"/>
      <c r="AX235" s="28"/>
      <c r="AY235" s="25">
        <v>8</v>
      </c>
      <c r="AZ235" s="28"/>
      <c r="BA235" s="28"/>
      <c r="BB235" s="25">
        <v>3</v>
      </c>
      <c r="BC235" s="28"/>
      <c r="BD235" s="28"/>
      <c r="BE235" s="28"/>
    </row>
    <row r="236" ht="13.55" customHeight="1">
      <c r="A236" s="25">
        <v>6599551356</v>
      </c>
      <c r="B236" s="25">
        <v>167721399</v>
      </c>
      <c r="C236" s="26">
        <v>43091.484502314823</v>
      </c>
      <c r="D236" s="26">
        <v>43091.485833333332</v>
      </c>
      <c r="E236" t="s" s="27">
        <v>566</v>
      </c>
      <c r="F236" s="28"/>
      <c r="G236" s="28"/>
      <c r="H236" s="28"/>
      <c r="I236" s="28"/>
      <c r="J236" s="28"/>
      <c r="K236" s="28"/>
      <c r="L236" s="25">
        <v>3</v>
      </c>
      <c r="M236" s="28"/>
      <c r="N236" s="28"/>
      <c r="O236" s="28"/>
      <c r="P236" s="28"/>
      <c r="Q236" s="25">
        <v>2</v>
      </c>
      <c r="R236" s="28"/>
      <c r="S236" s="25">
        <v>2</v>
      </c>
      <c r="T236" s="28"/>
      <c r="U236" s="28"/>
      <c r="V236" s="28"/>
      <c r="W236" s="28"/>
      <c r="X236" s="28"/>
      <c r="Y236" s="28"/>
      <c r="Z236" s="28"/>
      <c r="AA236" s="28"/>
      <c r="AB236" s="28"/>
      <c r="AC236" s="28"/>
      <c r="AD236" s="25">
        <v>1</v>
      </c>
      <c r="AE236" s="28"/>
      <c r="AF236" s="28"/>
      <c r="AG236" s="28"/>
      <c r="AH236" s="28"/>
      <c r="AI236" s="28"/>
      <c r="AJ236" s="25">
        <v>1</v>
      </c>
      <c r="AK236" s="25">
        <v>2</v>
      </c>
      <c r="AL236" s="28"/>
      <c r="AM236" s="28"/>
      <c r="AN236" s="25">
        <v>5</v>
      </c>
      <c r="AO236" s="28"/>
      <c r="AP236" s="28"/>
      <c r="AQ236" t="s" s="27">
        <v>567</v>
      </c>
      <c r="AR236" s="25">
        <v>1</v>
      </c>
      <c r="AS236" s="28"/>
      <c r="AT236" s="28"/>
      <c r="AU236" s="28"/>
      <c r="AV236" s="28"/>
      <c r="AW236" s="28"/>
      <c r="AX236" s="28"/>
      <c r="AY236" s="28"/>
      <c r="AZ236" s="28"/>
      <c r="BA236" s="28"/>
      <c r="BB236" s="25">
        <v>3</v>
      </c>
      <c r="BC236" s="28"/>
      <c r="BD236" s="28"/>
      <c r="BE236" s="28"/>
    </row>
    <row r="237" ht="13.55" customHeight="1">
      <c r="A237" s="25">
        <v>6599551257</v>
      </c>
      <c r="B237" s="25">
        <v>167721399</v>
      </c>
      <c r="C237" s="26">
        <v>43091.484594907408</v>
      </c>
      <c r="D237" s="26">
        <v>43091.485787037040</v>
      </c>
      <c r="E237" t="s" s="27">
        <v>568</v>
      </c>
      <c r="F237" s="28"/>
      <c r="G237" s="28"/>
      <c r="H237" s="28"/>
      <c r="I237" s="28"/>
      <c r="J237" s="28"/>
      <c r="K237" s="25">
        <v>2</v>
      </c>
      <c r="L237" s="28"/>
      <c r="M237" s="28"/>
      <c r="N237" s="28"/>
      <c r="O237" s="28"/>
      <c r="P237" s="25">
        <v>1</v>
      </c>
      <c r="Q237" s="28"/>
      <c r="R237" s="25">
        <v>1</v>
      </c>
      <c r="S237" s="28"/>
      <c r="T237" s="28"/>
      <c r="U237" s="28"/>
      <c r="V237" s="28"/>
      <c r="W237" s="28"/>
      <c r="X237" s="28"/>
      <c r="Y237" s="25">
        <v>2</v>
      </c>
      <c r="Z237" s="28"/>
      <c r="AA237" s="28"/>
      <c r="AB237" s="28"/>
      <c r="AC237" s="28"/>
      <c r="AD237" s="25">
        <v>1</v>
      </c>
      <c r="AE237" s="28"/>
      <c r="AF237" s="28"/>
      <c r="AG237" s="28"/>
      <c r="AH237" s="28"/>
      <c r="AI237" s="28"/>
      <c r="AJ237" s="25">
        <v>1</v>
      </c>
      <c r="AK237" s="25">
        <v>2</v>
      </c>
      <c r="AL237" s="28"/>
      <c r="AM237" s="28"/>
      <c r="AN237" s="28"/>
      <c r="AO237" s="28"/>
      <c r="AP237" s="28"/>
      <c r="AQ237" t="s" s="27">
        <v>569</v>
      </c>
      <c r="AR237" s="28"/>
      <c r="AS237" s="28"/>
      <c r="AT237" s="28"/>
      <c r="AU237" s="28"/>
      <c r="AV237" s="28"/>
      <c r="AW237" s="28"/>
      <c r="AX237" s="28"/>
      <c r="AY237" s="25">
        <v>8</v>
      </c>
      <c r="AZ237" s="28"/>
      <c r="BA237" s="28"/>
      <c r="BB237" s="25">
        <v>3</v>
      </c>
      <c r="BC237" s="28"/>
      <c r="BD237" s="28"/>
      <c r="BE237" t="s" s="27">
        <v>570</v>
      </c>
    </row>
    <row r="238" ht="13.55" customHeight="1">
      <c r="A238" s="25">
        <v>6599536203</v>
      </c>
      <c r="B238" s="25">
        <v>167721399</v>
      </c>
      <c r="C238" s="26">
        <v>43091.476203703707</v>
      </c>
      <c r="D238" s="26">
        <v>43091.477662037039</v>
      </c>
      <c r="E238" t="s" s="27">
        <v>571</v>
      </c>
      <c r="F238" s="28"/>
      <c r="G238" s="28"/>
      <c r="H238" s="28"/>
      <c r="I238" s="28"/>
      <c r="J238" s="28"/>
      <c r="K238" s="28"/>
      <c r="L238" s="25">
        <v>3</v>
      </c>
      <c r="M238" s="28"/>
      <c r="N238" s="28"/>
      <c r="O238" s="28"/>
      <c r="P238" s="28"/>
      <c r="Q238" s="25">
        <v>2</v>
      </c>
      <c r="R238" s="28"/>
      <c r="S238" s="25">
        <v>2</v>
      </c>
      <c r="T238" s="28"/>
      <c r="U238" s="28"/>
      <c r="V238" s="28"/>
      <c r="W238" s="28"/>
      <c r="X238" s="28"/>
      <c r="Y238" s="25">
        <v>2</v>
      </c>
      <c r="Z238" s="28"/>
      <c r="AA238" s="28"/>
      <c r="AB238" s="28"/>
      <c r="AC238" s="28"/>
      <c r="AD238" s="28"/>
      <c r="AE238" s="25">
        <v>2</v>
      </c>
      <c r="AF238" s="28"/>
      <c r="AG238" s="28"/>
      <c r="AH238" s="28"/>
      <c r="AI238" s="28"/>
      <c r="AJ238" s="25">
        <v>1</v>
      </c>
      <c r="AK238" s="28"/>
      <c r="AL238" s="28"/>
      <c r="AM238" s="28"/>
      <c r="AN238" s="28"/>
      <c r="AO238" s="25">
        <v>6</v>
      </c>
      <c r="AP238" s="28"/>
      <c r="AQ238" t="s" s="27">
        <v>572</v>
      </c>
      <c r="AR238" s="28"/>
      <c r="AS238" s="28"/>
      <c r="AT238" s="25">
        <v>3</v>
      </c>
      <c r="AU238" s="28"/>
      <c r="AV238" s="28"/>
      <c r="AW238" s="28"/>
      <c r="AX238" s="28"/>
      <c r="AY238" s="28"/>
      <c r="AZ238" s="28"/>
      <c r="BA238" s="28"/>
      <c r="BB238" s="25">
        <v>3</v>
      </c>
      <c r="BC238" s="28"/>
      <c r="BD238" s="28"/>
      <c r="BE238" s="28"/>
    </row>
    <row r="239" ht="13.55" customHeight="1">
      <c r="A239" s="25">
        <v>6594674598</v>
      </c>
      <c r="B239" s="25">
        <v>167721399</v>
      </c>
      <c r="C239" s="26">
        <v>43088.833136574067</v>
      </c>
      <c r="D239" s="26">
        <v>43088.834861111107</v>
      </c>
      <c r="E239" t="s" s="27">
        <v>573</v>
      </c>
      <c r="F239" s="28"/>
      <c r="G239" s="28"/>
      <c r="H239" s="28"/>
      <c r="I239" s="28"/>
      <c r="J239" s="28"/>
      <c r="K239" s="28"/>
      <c r="L239" s="25">
        <v>3</v>
      </c>
      <c r="M239" s="28"/>
      <c r="N239" s="28"/>
      <c r="O239" s="28"/>
      <c r="P239" s="25">
        <v>1</v>
      </c>
      <c r="Q239" s="28"/>
      <c r="R239" s="28"/>
      <c r="S239" s="28"/>
      <c r="T239" s="28"/>
      <c r="U239" s="28"/>
      <c r="V239" s="25">
        <v>5</v>
      </c>
      <c r="W239" s="28"/>
      <c r="X239" s="28"/>
      <c r="Y239" s="28"/>
      <c r="Z239" s="28"/>
      <c r="AA239" s="25">
        <v>4</v>
      </c>
      <c r="AB239" s="28"/>
      <c r="AC239" s="28"/>
      <c r="AD239" s="28"/>
      <c r="AE239" s="28"/>
      <c r="AF239" s="28"/>
      <c r="AG239" s="28"/>
      <c r="AH239" s="25">
        <v>5</v>
      </c>
      <c r="AI239" s="28"/>
      <c r="AJ239" s="28"/>
      <c r="AK239" s="28"/>
      <c r="AL239" s="28"/>
      <c r="AM239" s="28"/>
      <c r="AN239" s="28"/>
      <c r="AO239" s="28"/>
      <c r="AP239" s="28"/>
      <c r="AQ239" t="s" s="27">
        <v>574</v>
      </c>
      <c r="AR239" s="28"/>
      <c r="AS239" s="25">
        <v>2</v>
      </c>
      <c r="AT239" s="28"/>
      <c r="AU239" s="28"/>
      <c r="AV239" s="28"/>
      <c r="AW239" s="28"/>
      <c r="AX239" s="28"/>
      <c r="AY239" s="28"/>
      <c r="AZ239" s="28"/>
      <c r="BA239" s="28"/>
      <c r="BB239" s="25">
        <v>3</v>
      </c>
      <c r="BC239" s="28"/>
      <c r="BD239" s="28"/>
      <c r="BE239" s="28"/>
    </row>
    <row r="240" ht="13.55" customHeight="1">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c r="AG240" s="28"/>
      <c r="AH240" s="28"/>
      <c r="AI240" s="28"/>
      <c r="AJ240" s="28"/>
      <c r="AK240" s="28"/>
      <c r="AL240" s="28"/>
      <c r="AM240" s="28"/>
      <c r="AN240" s="28"/>
      <c r="AO240" s="28"/>
      <c r="AP240" s="28"/>
      <c r="AQ240" s="28"/>
      <c r="AR240" s="28"/>
      <c r="AS240" s="28"/>
      <c r="AT240" s="28"/>
      <c r="AU240" s="28"/>
      <c r="AV240" s="28"/>
      <c r="AW240" s="28"/>
      <c r="AX240" s="28"/>
      <c r="AY240" s="28"/>
      <c r="AZ240" s="28"/>
      <c r="BA240" s="28"/>
      <c r="BB240" s="28"/>
      <c r="BC240" s="28"/>
      <c r="BD240" s="28"/>
      <c r="BE240" s="28"/>
    </row>
    <row r="241" ht="13.55" customHeight="1">
      <c r="A241" t="s" s="27">
        <v>575</v>
      </c>
      <c r="B241" s="28"/>
      <c r="C241" s="28"/>
      <c r="D241" s="28"/>
      <c r="E241" s="28"/>
      <c r="F241" s="28"/>
      <c r="G241" s="28"/>
      <c r="H241" s="25">
        <f>SUM(J241:O241)</f>
        <v>237</v>
      </c>
      <c r="I241" s="28"/>
      <c r="J241" s="25">
        <f>COUNT(J3:J239)</f>
        <v>8</v>
      </c>
      <c r="K241" s="25">
        <f>COUNT(K3:K239)</f>
        <v>113</v>
      </c>
      <c r="L241" s="25">
        <f>COUNT(L3:L239)</f>
        <v>98</v>
      </c>
      <c r="M241" s="25">
        <f>COUNT(M3:M239)</f>
        <v>10</v>
      </c>
      <c r="N241" s="25">
        <f>COUNT(N3:N239)</f>
        <v>7</v>
      </c>
      <c r="O241" s="25">
        <f>COUNT(O3:O239)</f>
        <v>1</v>
      </c>
      <c r="P241" s="25">
        <f>COUNT(P3:P239)</f>
        <v>196</v>
      </c>
      <c r="Q241" s="25">
        <f>COUNT(Q3:Q239)</f>
        <v>41</v>
      </c>
      <c r="R241" s="25">
        <f>COUNT(R1:R239)</f>
        <v>47</v>
      </c>
      <c r="S241" s="25">
        <f>COUNT(S1:S239)</f>
        <v>87</v>
      </c>
      <c r="T241" s="25">
        <f>COUNT(T1:T239)</f>
        <v>34</v>
      </c>
      <c r="U241" s="25">
        <f>COUNT(U1:U239)</f>
        <v>38</v>
      </c>
      <c r="V241" s="25">
        <f>COUNT(V1:V239)</f>
        <v>20</v>
      </c>
      <c r="W241" s="25">
        <f>COUNT(W1:W239)</f>
        <v>9</v>
      </c>
      <c r="X241" s="25">
        <f>COUNT(X1:X239)</f>
        <v>8</v>
      </c>
      <c r="Y241" s="25">
        <f>COUNT(Y1:Y239)</f>
        <v>102</v>
      </c>
      <c r="Z241" s="25">
        <f>COUNT(Z1:Z239)</f>
        <v>68</v>
      </c>
      <c r="AA241" s="25">
        <f>COUNT(AA1:AA239)</f>
        <v>44</v>
      </c>
      <c r="AB241" s="25">
        <f>COUNT(AB1:AB239)</f>
        <v>12</v>
      </c>
      <c r="AC241" s="25">
        <f>COUNT(AC1:AC239)</f>
        <v>0</v>
      </c>
      <c r="AD241" s="25">
        <f>COUNT(AD1:AD239)</f>
        <v>64</v>
      </c>
      <c r="AE241" s="25">
        <f>COUNT(AE1:AE239)</f>
        <v>93</v>
      </c>
      <c r="AF241" s="25">
        <f>COUNT(AF1:AF239)</f>
        <v>49</v>
      </c>
      <c r="AG241" s="25">
        <f>COUNT(AG1:AG239)</f>
        <v>24</v>
      </c>
      <c r="AH241" s="25">
        <f>COUNT(AH1:AH239)</f>
        <v>7</v>
      </c>
      <c r="AI241" s="25">
        <f>COUNT(AI1:AI239)</f>
        <v>0</v>
      </c>
      <c r="AJ241" s="25">
        <f>COUNT(AJ1:AJ239)</f>
        <v>181</v>
      </c>
      <c r="AK241" s="25">
        <f>COUNT(AK1:AK239)</f>
        <v>75</v>
      </c>
      <c r="AL241" s="25">
        <f>COUNT(AL1:AL239)</f>
        <v>16</v>
      </c>
      <c r="AM241" s="25">
        <f>COUNT(AM1:AM239)</f>
        <v>12</v>
      </c>
      <c r="AN241" s="25">
        <f>COUNT(AN1:AN239)</f>
        <v>32</v>
      </c>
      <c r="AO241" s="25">
        <f>COUNT(AO1:AO239)</f>
        <v>86</v>
      </c>
      <c r="AP241" s="25">
        <f>COUNT(AP1:AP239)</f>
        <v>30</v>
      </c>
      <c r="AQ241" s="25">
        <f>SUM(AR241:AY241)</f>
        <v>233</v>
      </c>
      <c r="AR241" s="25">
        <f>COUNT(AR1:AR239)</f>
        <v>36</v>
      </c>
      <c r="AS241" s="25">
        <f>COUNT(AS1:AS239)</f>
        <v>37</v>
      </c>
      <c r="AT241" s="25">
        <f>COUNT(AT1:AT239)</f>
        <v>68</v>
      </c>
      <c r="AU241" s="25">
        <f>COUNT(AU1:AU239)</f>
        <v>34</v>
      </c>
      <c r="AV241" s="25">
        <f>COUNT(AV1:AV239)</f>
        <v>6</v>
      </c>
      <c r="AW241" s="25">
        <f>COUNT(AW1:AW239)</f>
        <v>1</v>
      </c>
      <c r="AX241" s="25">
        <f>COUNT(AX1:AX239)</f>
        <v>5</v>
      </c>
      <c r="AY241" s="25">
        <f>COUNT(AY1:AY239)</f>
        <v>46</v>
      </c>
      <c r="AZ241" s="25">
        <f>COUNT(AZ1:AZ239)</f>
        <v>25</v>
      </c>
      <c r="BA241" s="25">
        <f>COUNT(BA1:BA239)</f>
        <v>2</v>
      </c>
      <c r="BB241" s="25">
        <f>COUNT(BB1:BB239)</f>
        <v>157</v>
      </c>
      <c r="BC241" s="25">
        <f>COUNT(BC1:BC239)</f>
        <v>49</v>
      </c>
      <c r="BD241" s="28"/>
      <c r="BE241" s="28"/>
    </row>
    <row r="242" ht="13.55" customHeight="1">
      <c r="A242" s="28"/>
      <c r="B242" s="28"/>
      <c r="C242" s="28"/>
      <c r="D242" s="28"/>
      <c r="E242" s="28"/>
      <c r="F242" s="28"/>
      <c r="G242" s="28"/>
      <c r="H242" s="28"/>
      <c r="I242" s="28"/>
      <c r="J242" s="25">
        <f>J241/237</f>
        <v>0.0337552742616034</v>
      </c>
      <c r="K242" s="25">
        <f>K241/237</f>
        <v>0.476793248945148</v>
      </c>
      <c r="L242" s="25">
        <f>L241/237</f>
        <v>0.413502109704641</v>
      </c>
      <c r="M242" s="25">
        <f>M241/237</f>
        <v>0.0421940928270042</v>
      </c>
      <c r="N242" s="25">
        <f>N241/237</f>
        <v>0.029535864978903</v>
      </c>
      <c r="O242" s="25">
        <f>O241/237</f>
        <v>0.00421940928270042</v>
      </c>
      <c r="P242" s="25">
        <f>P241/237</f>
        <v>0.827004219409283</v>
      </c>
      <c r="Q242" s="25">
        <f>Q241/237</f>
        <v>0.172995780590717</v>
      </c>
      <c r="R242" s="25">
        <f>R241/237</f>
        <v>0.19831223628692</v>
      </c>
      <c r="S242" s="25">
        <f>S241/237</f>
        <v>0.367088607594937</v>
      </c>
      <c r="T242" s="25">
        <f>T241/237</f>
        <v>0.143459915611814</v>
      </c>
      <c r="U242" s="25">
        <f>U241/237</f>
        <v>0.160337552742616</v>
      </c>
      <c r="V242" s="25">
        <f>V241/237</f>
        <v>0.08438818565400839</v>
      </c>
      <c r="W242" s="25">
        <f>W241/237</f>
        <v>0.0379746835443038</v>
      </c>
      <c r="X242" s="25">
        <f>X241/237</f>
        <v>0.0337552742616034</v>
      </c>
      <c r="Y242" s="25">
        <f>Y241/237</f>
        <v>0.430379746835443</v>
      </c>
      <c r="Z242" s="25">
        <f>Z241/237</f>
        <v>0.286919831223629</v>
      </c>
      <c r="AA242" s="25">
        <f>AA241/237</f>
        <v>0.185654008438819</v>
      </c>
      <c r="AB242" s="25">
        <f>AB241/237</f>
        <v>0.0506329113924051</v>
      </c>
      <c r="AC242" s="25">
        <f>AC241/237</f>
        <v>0</v>
      </c>
      <c r="AD242" s="25">
        <f>AD241/237</f>
        <v>0.270042194092827</v>
      </c>
      <c r="AE242" s="25">
        <f>AE241/237</f>
        <v>0.392405063291139</v>
      </c>
      <c r="AF242" s="25">
        <f>AF241/237</f>
        <v>0.206751054852321</v>
      </c>
      <c r="AG242" s="25">
        <f>AG241/237</f>
        <v>0.10126582278481</v>
      </c>
      <c r="AH242" s="25">
        <f>AH241/237</f>
        <v>0.029535864978903</v>
      </c>
      <c r="AI242" s="25">
        <f>AI241/237</f>
        <v>0</v>
      </c>
      <c r="AJ242" s="25">
        <f>AJ241/237</f>
        <v>0.763713080168776</v>
      </c>
      <c r="AK242" s="25">
        <f>AK241/237</f>
        <v>0.316455696202532</v>
      </c>
      <c r="AL242" s="25">
        <f>AL241/237</f>
        <v>0.0675105485232068</v>
      </c>
      <c r="AM242" s="25">
        <f>AM241/237</f>
        <v>0.0506329113924051</v>
      </c>
      <c r="AN242" s="25">
        <f>AN241/237</f>
        <v>0.135021097046414</v>
      </c>
      <c r="AO242" s="25">
        <f>AO241/237</f>
        <v>0.362869198312236</v>
      </c>
      <c r="AP242" s="25">
        <f>AP241/237</f>
        <v>0.126582278481013</v>
      </c>
      <c r="AQ242" s="28"/>
      <c r="AR242" s="25">
        <f>AR241/237</f>
        <v>0.151898734177215</v>
      </c>
      <c r="AS242" s="25">
        <f>AS241/237</f>
        <v>0.156118143459916</v>
      </c>
      <c r="AT242" s="25">
        <f>AT241/237</f>
        <v>0.286919831223629</v>
      </c>
      <c r="AU242" s="25">
        <f>AU241/237</f>
        <v>0.143459915611814</v>
      </c>
      <c r="AV242" s="25">
        <f>AV241/237</f>
        <v>0.0253164556962025</v>
      </c>
      <c r="AW242" s="25">
        <f>AW241/237</f>
        <v>0.00421940928270042</v>
      </c>
      <c r="AX242" s="25">
        <f>AX241/237</f>
        <v>0.0210970464135021</v>
      </c>
      <c r="AY242" s="25">
        <f>AY241/237</f>
        <v>0.194092827004219</v>
      </c>
      <c r="AZ242" s="25">
        <f>AZ241/237</f>
        <v>0.105485232067511</v>
      </c>
      <c r="BA242" s="25">
        <f>BA241/237</f>
        <v>0.00843881856540084</v>
      </c>
      <c r="BB242" s="25">
        <f>BB241/237</f>
        <v>0.662447257383966</v>
      </c>
      <c r="BC242" s="25">
        <f>BC241/237</f>
        <v>0.206751054852321</v>
      </c>
      <c r="BD242" s="28"/>
      <c r="BE242" s="28"/>
    </row>
    <row r="243" ht="13.55" customHeight="1">
      <c r="A243" s="28"/>
      <c r="B243" s="28"/>
      <c r="C243" s="28"/>
      <c r="D243" s="28"/>
      <c r="E243" s="28"/>
      <c r="F243" s="28"/>
      <c r="G243" s="28"/>
      <c r="H243" s="28"/>
      <c r="I243" s="28"/>
      <c r="J243" s="25">
        <f>9*J242</f>
        <v>0.303797468354431</v>
      </c>
      <c r="K243" s="25">
        <f>22.5*K242</f>
        <v>10.7278481012658</v>
      </c>
      <c r="L243" s="25">
        <f>31*L242</f>
        <v>12.8185654008439</v>
      </c>
      <c r="M243" s="25">
        <f>40.5*M242</f>
        <v>1.70886075949367</v>
      </c>
      <c r="N243" s="25">
        <f>53*N242</f>
        <v>1.56540084388186</v>
      </c>
      <c r="O243" s="25">
        <f>70*O242</f>
        <v>0.295358649789029</v>
      </c>
      <c r="P243" s="28"/>
      <c r="Q243" s="28"/>
      <c r="R243" s="25">
        <f>12*R242</f>
        <v>2.37974683544304</v>
      </c>
      <c r="S243" s="25">
        <f>24*S242</f>
        <v>8.810126582278491</v>
      </c>
      <c r="T243" s="25">
        <f>60*T242</f>
        <v>8.607594936708839</v>
      </c>
      <c r="U243" s="25">
        <f>84*U242</f>
        <v>13.4683544303797</v>
      </c>
      <c r="V243" s="25">
        <f>126*V242</f>
        <v>10.6329113924051</v>
      </c>
      <c r="W243" s="25">
        <f>204*W242</f>
        <v>7.74683544303798</v>
      </c>
      <c r="X243" s="25">
        <f>15*X242</f>
        <v>0.506329113924051</v>
      </c>
      <c r="Y243" s="25">
        <f>20*Y242</f>
        <v>8.60759493670886</v>
      </c>
      <c r="Z243" s="25">
        <f>23*Z242</f>
        <v>6.59915611814347</v>
      </c>
      <c r="AA243" s="25">
        <f>26*AA242</f>
        <v>4.82700421940929</v>
      </c>
      <c r="AB243" s="25">
        <f>30*AB242</f>
        <v>1.51898734177215</v>
      </c>
      <c r="AC243" s="28"/>
      <c r="AD243" s="25">
        <f>1.5*AD242</f>
        <v>0.405063291139241</v>
      </c>
      <c r="AE243" s="25">
        <f>4.5*AE242</f>
        <v>1.76582278481013</v>
      </c>
      <c r="AF243" s="25">
        <f>6.5*AF242</f>
        <v>1.34388185654009</v>
      </c>
      <c r="AG243" s="25">
        <f>8.5*AG242</f>
        <v>0.860759493670885</v>
      </c>
      <c r="AH243" s="25">
        <f>11*AH242</f>
        <v>0.324894514767933</v>
      </c>
      <c r="AI243" s="28"/>
      <c r="AJ243" s="28"/>
      <c r="AK243" s="28"/>
      <c r="AL243" s="28"/>
      <c r="AM243" s="28"/>
      <c r="AN243" s="28"/>
      <c r="AO243" s="28"/>
      <c r="AP243" s="28"/>
      <c r="AQ243" t="s" s="27">
        <v>576</v>
      </c>
      <c r="AR243" s="25">
        <f>AR241/182</f>
        <v>0.197802197802198</v>
      </c>
      <c r="AS243" s="25">
        <f>AS241/182</f>
        <v>0.203296703296703</v>
      </c>
      <c r="AT243" s="25">
        <f>AT241/182</f>
        <v>0.373626373626374</v>
      </c>
      <c r="AU243" s="25">
        <f>AU241/182</f>
        <v>0.186813186813187</v>
      </c>
      <c r="AV243" s="25">
        <f>AV241/182</f>
        <v>0.032967032967033</v>
      </c>
      <c r="AW243" s="25">
        <f>AW241/182</f>
        <v>0.00549450549450549</v>
      </c>
      <c r="AX243" t="s" s="27">
        <v>577</v>
      </c>
      <c r="AY243" t="s" s="27">
        <v>577</v>
      </c>
      <c r="AZ243" s="28"/>
      <c r="BA243" s="28"/>
      <c r="BB243" s="28"/>
      <c r="BC243" s="28"/>
      <c r="BD243" s="28"/>
      <c r="BE243" s="28"/>
    </row>
    <row r="244" ht="13.55" customHeight="1">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c r="AD244" s="28"/>
      <c r="AE244" s="28"/>
      <c r="AF244" s="28"/>
      <c r="AG244" s="28"/>
      <c r="AH244" s="28"/>
      <c r="AI244" s="28"/>
      <c r="AJ244" s="25">
        <f>SUM(AJ241:AP241)</f>
        <v>432</v>
      </c>
      <c r="AK244" s="28"/>
      <c r="AL244" s="28"/>
      <c r="AM244" s="28"/>
      <c r="AN244" s="28"/>
      <c r="AO244" s="28"/>
      <c r="AP244" s="28"/>
      <c r="AQ244" s="28"/>
      <c r="AR244" s="25">
        <f>0.5*AR243</f>
        <v>0.09890109890109899</v>
      </c>
      <c r="AS244" s="25">
        <f>1.5*AS243</f>
        <v>0.304945054945055</v>
      </c>
      <c r="AT244" s="25">
        <f>4*AT243</f>
        <v>1.4945054945055</v>
      </c>
      <c r="AU244" s="25">
        <f>9*AU243</f>
        <v>1.68131868131868</v>
      </c>
      <c r="AV244" s="25">
        <f>18*AV243</f>
        <v>0.593406593406594</v>
      </c>
      <c r="AW244" s="25">
        <f>42*AW243</f>
        <v>0.230769230769231</v>
      </c>
      <c r="AX244" s="28"/>
      <c r="AY244" s="28"/>
      <c r="AZ244" s="28"/>
      <c r="BA244" s="28"/>
      <c r="BB244" s="28"/>
      <c r="BC244" s="28"/>
      <c r="BD244" s="28"/>
      <c r="BE244" s="28"/>
    </row>
    <row r="245" ht="13.55" customHeight="1">
      <c r="A245" s="28"/>
      <c r="B245" s="28"/>
      <c r="C245" s="28"/>
      <c r="D245" s="28"/>
      <c r="E245" s="28"/>
      <c r="F245" s="28"/>
      <c r="G245" s="28"/>
      <c r="H245" s="28"/>
      <c r="I245" t="s" s="27">
        <v>578</v>
      </c>
      <c r="J245" s="25">
        <f>SUM(J243:O243)</f>
        <v>27.4198312236287</v>
      </c>
      <c r="K245" s="28"/>
      <c r="L245" s="28"/>
      <c r="M245" s="28"/>
      <c r="N245" s="28"/>
      <c r="O245" s="28"/>
      <c r="P245" s="28"/>
      <c r="Q245" t="s" s="27">
        <v>579</v>
      </c>
      <c r="R245" s="25">
        <f>SUM(R243:W243)</f>
        <v>51.6455696202532</v>
      </c>
      <c r="S245" s="28"/>
      <c r="T245" s="28"/>
      <c r="U245" s="28"/>
      <c r="V245" s="28"/>
      <c r="W245" s="28"/>
      <c r="X245" s="28"/>
      <c r="Y245" s="28"/>
      <c r="Z245" s="28"/>
      <c r="AA245" s="28"/>
      <c r="AB245" s="28"/>
      <c r="AC245" s="28"/>
      <c r="AD245" s="28"/>
      <c r="AE245" s="28"/>
      <c r="AF245" s="28"/>
      <c r="AG245" s="28"/>
      <c r="AH245" s="28"/>
      <c r="AI245" s="28"/>
      <c r="AJ245" s="25">
        <f>AJ241/AJ244</f>
        <v>0.418981481481481</v>
      </c>
      <c r="AK245" s="25">
        <f>AK241/432</f>
        <v>0.173611111111111</v>
      </c>
      <c r="AL245" s="25">
        <f>AL241/432</f>
        <v>0.037037037037037</v>
      </c>
      <c r="AM245" s="25">
        <f>AM241/432</f>
        <v>0.0277777777777778</v>
      </c>
      <c r="AN245" s="25">
        <f>AN241/432</f>
        <v>0.0740740740740741</v>
      </c>
      <c r="AO245" s="25">
        <f>AO241/432</f>
        <v>0.199074074074074</v>
      </c>
      <c r="AP245" s="25">
        <f>AP241/432</f>
        <v>0.06944444444444441</v>
      </c>
      <c r="AQ245" s="28"/>
      <c r="AR245" s="25">
        <f>SUM(AR244:AW244)</f>
        <v>4.40384615384616</v>
      </c>
      <c r="AS245" t="s" s="27">
        <v>580</v>
      </c>
      <c r="AT245" s="28"/>
      <c r="AU245" s="28"/>
      <c r="AV245" s="28"/>
      <c r="AW245" s="28"/>
      <c r="AX245" s="28"/>
      <c r="AY245" s="28"/>
      <c r="AZ245" s="28"/>
      <c r="BA245" s="28"/>
      <c r="BB245" s="28"/>
      <c r="BC245" s="28"/>
      <c r="BD245" s="28"/>
      <c r="BE245" s="28"/>
    </row>
    <row r="246" ht="13.55" customHeight="1">
      <c r="A246" s="28"/>
      <c r="B246" s="28"/>
      <c r="C246" s="28"/>
      <c r="D246" s="28"/>
      <c r="E246" s="28"/>
      <c r="F246" s="28"/>
      <c r="G246" s="28"/>
      <c r="H246" s="28"/>
      <c r="I246" s="28"/>
      <c r="J246" s="28"/>
      <c r="K246" s="28"/>
      <c r="L246" s="28"/>
      <c r="M246" s="28"/>
      <c r="N246" s="28"/>
      <c r="O246" s="28"/>
      <c r="P246" s="28"/>
      <c r="Q246" t="s" s="27">
        <v>581</v>
      </c>
      <c r="R246" s="25">
        <f>R245/12</f>
        <v>4.30379746835443</v>
      </c>
      <c r="S246" s="28"/>
      <c r="T246" s="28"/>
      <c r="U246" s="28"/>
      <c r="V246" s="28"/>
      <c r="W246" t="s" s="27">
        <v>582</v>
      </c>
      <c r="X246" s="25">
        <f>SUM(X243:AB243)</f>
        <v>22.0590717299578</v>
      </c>
      <c r="Y246" t="s" s="27">
        <v>583</v>
      </c>
      <c r="Z246" s="28"/>
      <c r="AA246" s="28"/>
      <c r="AB246" s="28"/>
      <c r="AC246" t="s" s="27">
        <v>582</v>
      </c>
      <c r="AD246" s="25">
        <f>SUM(AD243:AH243)</f>
        <v>4.70042194092828</v>
      </c>
      <c r="AE246" s="28"/>
      <c r="AF246" s="28"/>
      <c r="AG246" s="28"/>
      <c r="AH246" s="28"/>
      <c r="AI246" s="28"/>
      <c r="AJ246" s="28"/>
      <c r="AK246" s="28"/>
      <c r="AL246" s="28"/>
      <c r="AM246" s="28"/>
      <c r="AN246" s="28"/>
      <c r="AO246" s="28"/>
      <c r="AP246" s="28"/>
      <c r="AQ246" s="28"/>
      <c r="AR246" s="28"/>
      <c r="AS246" s="28"/>
      <c r="AT246" s="28"/>
      <c r="AU246" s="28"/>
      <c r="AV246" s="28"/>
      <c r="AW246" s="28"/>
      <c r="AX246" s="28"/>
      <c r="AY246" t="s" s="27">
        <v>584</v>
      </c>
      <c r="AZ246" s="28"/>
      <c r="BA246" s="28"/>
      <c r="BB246" s="28"/>
      <c r="BC246" s="28"/>
      <c r="BD246" s="28"/>
      <c r="BE246" s="28"/>
    </row>
    <row r="247" ht="13.55" customHeight="1">
      <c r="A247" s="28"/>
      <c r="B247" s="28"/>
      <c r="C247" s="28"/>
      <c r="D247" s="28"/>
      <c r="E247" s="28"/>
      <c r="F247" s="28"/>
      <c r="G247" s="28"/>
      <c r="H247" s="25">
        <f>SUM(J247:O247)</f>
        <v>27</v>
      </c>
      <c r="I247" t="s" s="27">
        <v>585</v>
      </c>
      <c r="J247" s="28"/>
      <c r="K247" s="25">
        <v>11</v>
      </c>
      <c r="L247" s="25">
        <v>13</v>
      </c>
      <c r="M247" s="25">
        <v>2</v>
      </c>
      <c r="N247" s="25">
        <v>1</v>
      </c>
      <c r="O247" s="28"/>
      <c r="P247" s="25">
        <v>21</v>
      </c>
      <c r="Q247" s="25">
        <f>SUM(R247:W247)</f>
        <v>27</v>
      </c>
      <c r="R247" s="28"/>
      <c r="S247" s="25">
        <v>9</v>
      </c>
      <c r="T247" s="25">
        <v>5</v>
      </c>
      <c r="U247" s="25">
        <v>9</v>
      </c>
      <c r="V247" s="25">
        <v>4</v>
      </c>
      <c r="W247" s="28"/>
      <c r="X247" s="25">
        <v>2</v>
      </c>
      <c r="Y247" s="25">
        <v>10</v>
      </c>
      <c r="Z247" s="25">
        <v>8</v>
      </c>
      <c r="AA247" s="25">
        <v>3</v>
      </c>
      <c r="AB247" s="25">
        <v>3</v>
      </c>
      <c r="AC247" s="28"/>
      <c r="AD247" s="25">
        <v>8</v>
      </c>
      <c r="AE247" s="25">
        <v>8</v>
      </c>
      <c r="AF247" s="25">
        <v>6</v>
      </c>
      <c r="AG247" s="25">
        <v>4</v>
      </c>
      <c r="AH247" s="25">
        <v>1</v>
      </c>
      <c r="AI247" t="s" s="27">
        <v>586</v>
      </c>
      <c r="AJ247" s="25">
        <v>13</v>
      </c>
      <c r="AK247" s="25">
        <v>11</v>
      </c>
      <c r="AL247" s="25">
        <v>4</v>
      </c>
      <c r="AM247" s="25">
        <v>1</v>
      </c>
      <c r="AN247" s="25">
        <v>5</v>
      </c>
      <c r="AO247" s="25">
        <v>17</v>
      </c>
      <c r="AP247" s="25">
        <v>3</v>
      </c>
      <c r="AQ247" t="s" s="27">
        <v>587</v>
      </c>
      <c r="AR247" t="s" s="27">
        <v>588</v>
      </c>
      <c r="AS247" s="28"/>
      <c r="AT247" s="28"/>
      <c r="AU247" s="28"/>
      <c r="AV247" s="28"/>
      <c r="AW247" s="28"/>
      <c r="AX247" s="28"/>
      <c r="AY247" t="s" s="27">
        <v>589</v>
      </c>
      <c r="AZ247" t="s" s="27">
        <v>590</v>
      </c>
      <c r="BA247" s="28"/>
      <c r="BB247" s="25">
        <f>51/233</f>
        <v>0.218884120171674</v>
      </c>
      <c r="BC247" s="28"/>
      <c r="BD247" s="28"/>
      <c r="BE247" s="28"/>
    </row>
    <row r="248" ht="13.55" customHeight="1">
      <c r="A248" s="28"/>
      <c r="B248" s="28"/>
      <c r="C248" s="28"/>
      <c r="D248" s="28"/>
      <c r="E248" s="28"/>
      <c r="F248" s="28"/>
      <c r="G248" s="28"/>
      <c r="H248" s="28"/>
      <c r="I248" t="s" s="27">
        <v>591</v>
      </c>
      <c r="J248" s="28"/>
      <c r="K248" s="25">
        <f>K247/H247</f>
        <v>0.407407407407407</v>
      </c>
      <c r="L248" s="25">
        <f>L247/H247</f>
        <v>0.481481481481481</v>
      </c>
      <c r="M248" s="25">
        <f>M247/H247</f>
        <v>0.0740740740740741</v>
      </c>
      <c r="N248" s="25">
        <f>N247/H247</f>
        <v>0.037037037037037</v>
      </c>
      <c r="O248" s="28"/>
      <c r="P248" s="25">
        <f>21/27</f>
        <v>0.777777777777778</v>
      </c>
      <c r="Q248" s="28"/>
      <c r="R248" s="28"/>
      <c r="S248" s="25">
        <f>S247/27</f>
        <v>0.333333333333333</v>
      </c>
      <c r="T248" s="25">
        <f>T247/27</f>
        <v>0.185185185185185</v>
      </c>
      <c r="U248" s="25">
        <f>U247/27</f>
        <v>0.333333333333333</v>
      </c>
      <c r="V248" s="25">
        <f>V247/27</f>
        <v>0.148148148148148</v>
      </c>
      <c r="W248" s="28"/>
      <c r="X248" s="25">
        <f>X247/26</f>
        <v>0.0769230769230769</v>
      </c>
      <c r="Y248" s="25">
        <f>Y247/26</f>
        <v>0.384615384615385</v>
      </c>
      <c r="Z248" s="25">
        <f>Z247/26</f>
        <v>0.307692307692308</v>
      </c>
      <c r="AA248" s="25">
        <f>AA247/26</f>
        <v>0.115384615384615</v>
      </c>
      <c r="AB248" s="25">
        <f>AB247/26</f>
        <v>0.115384615384615</v>
      </c>
      <c r="AC248" s="28"/>
      <c r="AD248" s="25">
        <f>AD247/27</f>
        <v>0.296296296296296</v>
      </c>
      <c r="AE248" s="25">
        <f>AE247/27</f>
        <v>0.296296296296296</v>
      </c>
      <c r="AF248" s="25">
        <f>AF247/27</f>
        <v>0.222222222222222</v>
      </c>
      <c r="AG248" s="25">
        <f>AG247/27</f>
        <v>0.148148148148148</v>
      </c>
      <c r="AH248" s="25">
        <f>AH247/27</f>
        <v>0.037037037037037</v>
      </c>
      <c r="AI248" s="25">
        <f>SUM(AJ247:AP247)</f>
        <v>54</v>
      </c>
      <c r="AJ248" s="25">
        <f>AJ247/27</f>
        <v>0.481481481481481</v>
      </c>
      <c r="AK248" s="25">
        <f>AK247/27</f>
        <v>0.407407407407407</v>
      </c>
      <c r="AL248" s="25">
        <f>AL247/27</f>
        <v>0.148148148148148</v>
      </c>
      <c r="AM248" s="25">
        <f>AM247/27</f>
        <v>0.037037037037037</v>
      </c>
      <c r="AN248" s="25">
        <f>AN247/27</f>
        <v>0.185185185185185</v>
      </c>
      <c r="AO248" s="25">
        <f>AO247/27</f>
        <v>0.62962962962963</v>
      </c>
      <c r="AP248" s="25">
        <f>AP247/27</f>
        <v>0.111111111111111</v>
      </c>
      <c r="AQ248" s="28"/>
      <c r="AR248" s="28"/>
      <c r="AS248" s="25">
        <v>1</v>
      </c>
      <c r="AT248" s="25">
        <v>7</v>
      </c>
      <c r="AU248" s="25">
        <v>6</v>
      </c>
      <c r="AV248" s="25">
        <v>5</v>
      </c>
      <c r="AW248" s="28"/>
      <c r="AX248" s="28"/>
      <c r="AY248" s="25">
        <v>8</v>
      </c>
      <c r="AZ248" s="25">
        <f>SUM(AX257:AY257)</f>
        <v>43</v>
      </c>
      <c r="BA248" s="28"/>
      <c r="BB248" s="28"/>
      <c r="BC248" s="28"/>
      <c r="BD248" s="28"/>
      <c r="BE248" s="28"/>
    </row>
    <row r="249" ht="13.55" customHeight="1">
      <c r="A249" s="28"/>
      <c r="B249" s="28"/>
      <c r="C249" s="28"/>
      <c r="D249" s="28"/>
      <c r="E249" s="28"/>
      <c r="F249" s="28"/>
      <c r="G249" s="28"/>
      <c r="H249" s="28"/>
      <c r="I249" s="28"/>
      <c r="J249" s="28"/>
      <c r="K249" s="25">
        <f>22.5*K248</f>
        <v>9.166666666666661</v>
      </c>
      <c r="L249" s="25">
        <f>31*L248</f>
        <v>14.9259259259259</v>
      </c>
      <c r="M249" s="25">
        <f>40.5*M248</f>
        <v>3</v>
      </c>
      <c r="N249" s="25">
        <f>53*N248</f>
        <v>1.96296296296296</v>
      </c>
      <c r="O249" s="28"/>
      <c r="P249" s="28"/>
      <c r="Q249" s="28"/>
      <c r="R249" s="28"/>
      <c r="S249" s="25">
        <f>24*S248</f>
        <v>7.99999999999999</v>
      </c>
      <c r="T249" s="25">
        <f>60*T248</f>
        <v>11.1111111111111</v>
      </c>
      <c r="U249" s="25">
        <f>84*U248</f>
        <v>28</v>
      </c>
      <c r="V249" s="25">
        <f>126*V248</f>
        <v>18.6666666666666</v>
      </c>
      <c r="W249" s="28"/>
      <c r="X249" s="25">
        <f>15*X248</f>
        <v>1.15384615384615</v>
      </c>
      <c r="Y249" s="25">
        <f>20*Y248</f>
        <v>7.6923076923077</v>
      </c>
      <c r="Z249" s="25">
        <f>23*Z248</f>
        <v>7.07692307692308</v>
      </c>
      <c r="AA249" s="25">
        <f>26*AA248</f>
        <v>2.99999999999999</v>
      </c>
      <c r="AB249" s="25">
        <f>30*AB248</f>
        <v>3.46153846153845</v>
      </c>
      <c r="AC249" s="28"/>
      <c r="AD249" s="25">
        <f>1.5*AD243</f>
        <v>0.607594936708862</v>
      </c>
      <c r="AE249" s="25">
        <f>4.5*AE248</f>
        <v>1.33333333333333</v>
      </c>
      <c r="AF249" s="25">
        <f>6.5*AF248</f>
        <v>1.44444444444444</v>
      </c>
      <c r="AG249" s="25">
        <f>8.5*AG248</f>
        <v>1.25925925925926</v>
      </c>
      <c r="AH249" s="25">
        <f>11*AH248</f>
        <v>0.407407407407407</v>
      </c>
      <c r="AI249" t="s" s="27">
        <v>592</v>
      </c>
      <c r="AJ249" s="25">
        <f>AJ247/54</f>
        <v>0.240740740740741</v>
      </c>
      <c r="AK249" s="25">
        <f>AK247/54</f>
        <v>0.203703703703704</v>
      </c>
      <c r="AL249" s="25">
        <f>AL247/54</f>
        <v>0.0740740740740741</v>
      </c>
      <c r="AM249" s="25">
        <f>AM247/54</f>
        <v>0.0185185185185185</v>
      </c>
      <c r="AN249" s="25">
        <f>AN247/54</f>
        <v>0.0925925925925926</v>
      </c>
      <c r="AO249" s="25">
        <f>AO247/54</f>
        <v>0.314814814814815</v>
      </c>
      <c r="AP249" s="25">
        <f>AP247/54</f>
        <v>0.0555555555555556</v>
      </c>
      <c r="AQ249" s="28"/>
      <c r="AR249" s="28"/>
      <c r="AS249" t="s" s="27">
        <v>593</v>
      </c>
      <c r="AT249" s="28"/>
      <c r="AU249" s="28"/>
      <c r="AV249" s="28"/>
      <c r="AW249" s="28"/>
      <c r="AX249" s="28"/>
      <c r="AY249" s="32"/>
      <c r="AZ249" s="32"/>
      <c r="BA249" s="28"/>
      <c r="BB249" s="28"/>
      <c r="BC249" s="28"/>
      <c r="BD249" s="28"/>
      <c r="BE249" s="28"/>
    </row>
    <row r="250" ht="15" customHeight="1">
      <c r="A250" s="28"/>
      <c r="B250" s="28"/>
      <c r="C250" s="28"/>
      <c r="D250" s="28"/>
      <c r="E250" s="28"/>
      <c r="F250" s="28"/>
      <c r="G250" s="28"/>
      <c r="H250" s="28"/>
      <c r="I250" t="s" s="27">
        <v>594</v>
      </c>
      <c r="J250" s="25">
        <f>SUM(K249:N249)</f>
        <v>29.0555555555555</v>
      </c>
      <c r="K250" s="28"/>
      <c r="L250" s="28"/>
      <c r="M250" s="28"/>
      <c r="N250" s="28"/>
      <c r="O250" s="28"/>
      <c r="P250" s="28"/>
      <c r="Q250" t="s" s="27">
        <v>595</v>
      </c>
      <c r="R250" s="25">
        <f>SUM(R249:W249)</f>
        <v>65.7777777777777</v>
      </c>
      <c r="S250" s="25">
        <f>R250/12</f>
        <v>5.48148148148148</v>
      </c>
      <c r="T250" s="28"/>
      <c r="U250" s="28"/>
      <c r="V250" s="28"/>
      <c r="W250" t="s" s="27">
        <v>596</v>
      </c>
      <c r="X250" s="25">
        <f>SUM(X249:AB249)</f>
        <v>22.3846153846154</v>
      </c>
      <c r="Y250" s="28"/>
      <c r="Z250" s="28"/>
      <c r="AA250" s="28"/>
      <c r="AB250" s="28"/>
      <c r="AC250" s="28"/>
      <c r="AD250" s="28"/>
      <c r="AE250" s="28"/>
      <c r="AF250" s="28"/>
      <c r="AG250" s="28"/>
      <c r="AH250" s="28"/>
      <c r="AI250" s="28"/>
      <c r="AJ250" s="28"/>
      <c r="AK250" s="28"/>
      <c r="AL250" s="28"/>
      <c r="AM250" s="28"/>
      <c r="AN250" s="28"/>
      <c r="AO250" s="28"/>
      <c r="AP250" s="28"/>
      <c r="AQ250" s="28"/>
      <c r="AR250" s="25">
        <f>SUM(AR248:AY248)</f>
        <v>27</v>
      </c>
      <c r="AS250" s="25">
        <f>AS248/30</f>
        <v>0.0333333333333333</v>
      </c>
      <c r="AT250" s="25">
        <f>AT248/30</f>
        <v>0.233333333333333</v>
      </c>
      <c r="AU250" s="25">
        <f>AU248/30</f>
        <v>0.2</v>
      </c>
      <c r="AV250" s="25">
        <f>AV248/30</f>
        <v>0.166666666666667</v>
      </c>
      <c r="AW250" s="25">
        <f>AW248/30</f>
        <v>0</v>
      </c>
      <c r="AX250" s="43">
        <f>AX248/30</f>
        <v>0</v>
      </c>
      <c r="AY250" s="44">
        <f>AY248/AR250</f>
        <v>0.296296296296296</v>
      </c>
      <c r="AZ250" s="45">
        <f>40/217</f>
        <v>0.184331797235023</v>
      </c>
      <c r="BA250" s="46"/>
      <c r="BB250" s="28"/>
      <c r="BC250" s="28"/>
      <c r="BD250" s="28"/>
      <c r="BE250" s="28"/>
    </row>
    <row r="251" ht="13.55" customHeight="1">
      <c r="A251" s="28"/>
      <c r="B251" s="28"/>
      <c r="C251" s="28"/>
      <c r="D251" s="28"/>
      <c r="E251" s="28"/>
      <c r="F251" s="28"/>
      <c r="G251" s="28"/>
      <c r="H251" s="28"/>
      <c r="I251" s="28"/>
      <c r="J251" s="28"/>
      <c r="K251" s="28"/>
      <c r="L251" s="28"/>
      <c r="M251" s="28"/>
      <c r="N251" s="28"/>
      <c r="O251" s="28"/>
      <c r="P251" s="28"/>
      <c r="Q251" s="28"/>
      <c r="R251" s="28"/>
      <c r="S251" t="s" s="27">
        <v>597</v>
      </c>
      <c r="T251" s="28"/>
      <c r="U251" s="28"/>
      <c r="V251" s="28"/>
      <c r="W251" s="28"/>
      <c r="X251" s="28"/>
      <c r="Y251" s="28"/>
      <c r="Z251" s="28"/>
      <c r="AA251" s="28"/>
      <c r="AB251" s="28"/>
      <c r="AC251" t="s" s="27">
        <v>598</v>
      </c>
      <c r="AD251" s="25">
        <f>SUM(AD249:AH249)</f>
        <v>5.0520393811533</v>
      </c>
      <c r="AE251" s="28"/>
      <c r="AF251" s="28"/>
      <c r="AG251" s="28"/>
      <c r="AH251" s="28"/>
      <c r="AI251" s="28"/>
      <c r="AJ251" s="28"/>
      <c r="AK251" s="28"/>
      <c r="AL251" s="28"/>
      <c r="AM251" s="28"/>
      <c r="AN251" s="28"/>
      <c r="AO251" s="28"/>
      <c r="AP251" s="28"/>
      <c r="AQ251" s="28"/>
      <c r="AR251" s="25">
        <f>SUM(AS248:AV248)</f>
        <v>19</v>
      </c>
      <c r="AS251" s="25">
        <f>AS248/19</f>
        <v>0.0526315789473684</v>
      </c>
      <c r="AT251" s="25">
        <f>AT248/19</f>
        <v>0.368421052631579</v>
      </c>
      <c r="AU251" s="25">
        <f>AU248/19</f>
        <v>0.315789473684211</v>
      </c>
      <c r="AV251" s="25">
        <f>AV248/19</f>
        <v>0.263157894736842</v>
      </c>
      <c r="AW251" s="28"/>
      <c r="AX251" s="28"/>
      <c r="AY251" s="24"/>
      <c r="AZ251" s="24"/>
      <c r="BA251" s="28"/>
      <c r="BB251" s="28"/>
      <c r="BC251" s="28"/>
      <c r="BD251" s="28"/>
      <c r="BE251" s="28"/>
    </row>
    <row r="252" ht="13.55" customHeight="1">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c r="AG252" s="28"/>
      <c r="AH252" s="28"/>
      <c r="AI252" s="28"/>
      <c r="AJ252" s="28"/>
      <c r="AK252" s="28"/>
      <c r="AL252" s="28"/>
      <c r="AM252" s="28"/>
      <c r="AN252" s="28"/>
      <c r="AO252" s="28"/>
      <c r="AP252" s="28"/>
      <c r="AQ252" s="28"/>
      <c r="AR252" s="28"/>
      <c r="AS252" s="25">
        <f>1.5*AS251</f>
        <v>0.0789473684210526</v>
      </c>
      <c r="AT252" s="25">
        <f>4*AT251</f>
        <v>1.47368421052632</v>
      </c>
      <c r="AU252" s="25">
        <f>9*AU251</f>
        <v>2.8421052631579</v>
      </c>
      <c r="AV252" s="25">
        <f>18*AV251</f>
        <v>4.73684210526316</v>
      </c>
      <c r="AW252" s="28"/>
      <c r="AX252" s="28"/>
      <c r="AY252" s="28"/>
      <c r="AZ252" s="28"/>
      <c r="BA252" s="28"/>
      <c r="BB252" s="28"/>
      <c r="BC252" s="28"/>
      <c r="BD252" s="28"/>
      <c r="BE252" s="28"/>
    </row>
    <row r="253" ht="13.55" customHeight="1">
      <c r="A253" s="28"/>
      <c r="B253" s="28"/>
      <c r="C253" s="28"/>
      <c r="D253" s="28"/>
      <c r="E253" s="28"/>
      <c r="F253" s="28"/>
      <c r="G253" s="28"/>
      <c r="H253" s="25">
        <f>H241-H247</f>
        <v>210</v>
      </c>
      <c r="I253" t="s" s="27">
        <v>599</v>
      </c>
      <c r="J253" s="25">
        <v>8</v>
      </c>
      <c r="K253" s="25">
        <f>K241-K247</f>
        <v>102</v>
      </c>
      <c r="L253" s="25">
        <f>L241-L247</f>
        <v>85</v>
      </c>
      <c r="M253" s="25">
        <f>M241-M247</f>
        <v>8</v>
      </c>
      <c r="N253" s="25">
        <f>N241-N247</f>
        <v>6</v>
      </c>
      <c r="O253" s="25">
        <v>1</v>
      </c>
      <c r="P253" s="28"/>
      <c r="Q253" t="s" s="27">
        <v>600</v>
      </c>
      <c r="R253" s="25">
        <v>47</v>
      </c>
      <c r="S253" s="25">
        <f>S241-S247</f>
        <v>78</v>
      </c>
      <c r="T253" s="25">
        <f>T241-T247</f>
        <v>29</v>
      </c>
      <c r="U253" s="25">
        <f>U241-U247</f>
        <v>29</v>
      </c>
      <c r="V253" s="25">
        <f>V241-V247</f>
        <v>16</v>
      </c>
      <c r="W253" s="25">
        <f>W241-W247</f>
        <v>9</v>
      </c>
      <c r="X253" s="25">
        <f>X241-X247</f>
        <v>6</v>
      </c>
      <c r="Y253" s="25">
        <f>Y241-Y247</f>
        <v>92</v>
      </c>
      <c r="Z253" s="25">
        <f>Z241-Z247</f>
        <v>60</v>
      </c>
      <c r="AA253" s="25">
        <f>AA241-AA247</f>
        <v>41</v>
      </c>
      <c r="AB253" s="25">
        <f>AB241-AB247</f>
        <v>9</v>
      </c>
      <c r="AC253" s="28"/>
      <c r="AD253" s="25">
        <f>AD241-AD247</f>
        <v>56</v>
      </c>
      <c r="AE253" s="25">
        <f>AE241-AE247</f>
        <v>85</v>
      </c>
      <c r="AF253" s="25">
        <f>AF241-AF247</f>
        <v>43</v>
      </c>
      <c r="AG253" s="25">
        <f>AG241-AG247</f>
        <v>20</v>
      </c>
      <c r="AH253" s="25">
        <f>AH241-AH247</f>
        <v>6</v>
      </c>
      <c r="AI253" t="s" s="27">
        <v>601</v>
      </c>
      <c r="AJ253" s="25">
        <f>AJ241-AJ247</f>
        <v>168</v>
      </c>
      <c r="AK253" s="25">
        <f>AK241-AK247</f>
        <v>64</v>
      </c>
      <c r="AL253" s="25">
        <f>AL241-AL247</f>
        <v>12</v>
      </c>
      <c r="AM253" s="25">
        <f>AM241-AM247</f>
        <v>11</v>
      </c>
      <c r="AN253" s="25">
        <f>AN241-AN247</f>
        <v>27</v>
      </c>
      <c r="AO253" s="25">
        <f>AO241-AO247</f>
        <v>69</v>
      </c>
      <c r="AP253" s="25">
        <f>AP241-AP247</f>
        <v>27</v>
      </c>
      <c r="AQ253" s="28"/>
      <c r="AR253" s="25">
        <f>SUM(AS252:AV252)</f>
        <v>9.13157894736843</v>
      </c>
      <c r="AS253" t="s" s="27">
        <v>580</v>
      </c>
      <c r="AT253" s="28"/>
      <c r="AU253" s="28"/>
      <c r="AV253" s="28"/>
      <c r="AW253" s="28"/>
      <c r="AX253" s="28"/>
      <c r="AY253" s="28"/>
      <c r="AZ253" s="28"/>
      <c r="BA253" s="28"/>
      <c r="BB253" s="28"/>
      <c r="BC253" s="28"/>
      <c r="BD253" s="28"/>
      <c r="BE253" s="28"/>
    </row>
    <row r="254" ht="13.55" customHeight="1">
      <c r="A254" s="28"/>
      <c r="B254" s="28"/>
      <c r="C254" s="28"/>
      <c r="D254" s="28"/>
      <c r="E254" s="28"/>
      <c r="F254" s="28"/>
      <c r="G254" s="28"/>
      <c r="H254" s="28"/>
      <c r="I254" s="28"/>
      <c r="J254" s="25">
        <f>J253/210</f>
        <v>0.0380952380952381</v>
      </c>
      <c r="K254" s="25">
        <f>K253/210</f>
        <v>0.485714285714286</v>
      </c>
      <c r="L254" s="25">
        <f>L253/210</f>
        <v>0.404761904761905</v>
      </c>
      <c r="M254" s="25">
        <f>M253/210</f>
        <v>0.0380952380952381</v>
      </c>
      <c r="N254" s="25">
        <f>N253/210</f>
        <v>0.0285714285714286</v>
      </c>
      <c r="O254" s="25">
        <f>O253/210</f>
        <v>0.00476190476190476</v>
      </c>
      <c r="P254" s="25">
        <f>P241-P247</f>
        <v>175</v>
      </c>
      <c r="Q254" s="28"/>
      <c r="R254" s="25">
        <f>R253/210</f>
        <v>0.223809523809524</v>
      </c>
      <c r="S254" s="25">
        <f>S253/210</f>
        <v>0.371428571428571</v>
      </c>
      <c r="T254" s="25">
        <f>T253/210</f>
        <v>0.138095238095238</v>
      </c>
      <c r="U254" s="25">
        <f>U253/210</f>
        <v>0.138095238095238</v>
      </c>
      <c r="V254" s="25">
        <f>V253/210</f>
        <v>0.0761904761904762</v>
      </c>
      <c r="W254" s="25">
        <f>W253/210</f>
        <v>0.0428571428571429</v>
      </c>
      <c r="X254" s="25">
        <f>X253/208</f>
        <v>0.0288461538461538</v>
      </c>
      <c r="Y254" s="25">
        <f>Y253/208</f>
        <v>0.442307692307692</v>
      </c>
      <c r="Z254" s="25">
        <f>Z253/208</f>
        <v>0.288461538461538</v>
      </c>
      <c r="AA254" s="25">
        <f>AA253/208</f>
        <v>0.197115384615385</v>
      </c>
      <c r="AB254" s="25">
        <f>AB253/208</f>
        <v>0.0432692307692308</v>
      </c>
      <c r="AC254" s="28"/>
      <c r="AD254" s="25">
        <f>AD253/210</f>
        <v>0.266666666666667</v>
      </c>
      <c r="AE254" s="25">
        <f>AE253/210</f>
        <v>0.404761904761905</v>
      </c>
      <c r="AF254" s="25">
        <f>AF253/210</f>
        <v>0.204761904761905</v>
      </c>
      <c r="AG254" s="25">
        <f>AG253/210</f>
        <v>0.09523809523809521</v>
      </c>
      <c r="AH254" s="25">
        <f>AH253/210</f>
        <v>0.0285714285714286</v>
      </c>
      <c r="AI254" s="25">
        <f>SUM(AJ253:AP253)</f>
        <v>378</v>
      </c>
      <c r="AJ254" s="25">
        <f>AJ253/210</f>
        <v>0.8</v>
      </c>
      <c r="AK254" s="25">
        <f>AK253/210</f>
        <v>0.304761904761905</v>
      </c>
      <c r="AL254" s="25">
        <f>AL253/210</f>
        <v>0.0571428571428571</v>
      </c>
      <c r="AM254" s="25">
        <f>AM253/210</f>
        <v>0.0523809523809524</v>
      </c>
      <c r="AN254" s="25">
        <f>AN253/210</f>
        <v>0.128571428571429</v>
      </c>
      <c r="AO254" s="25">
        <f>AO253/210</f>
        <v>0.328571428571429</v>
      </c>
      <c r="AP254" s="25">
        <f>AP253/210</f>
        <v>0.128571428571429</v>
      </c>
      <c r="AQ254" s="28"/>
      <c r="AR254" s="28"/>
      <c r="AS254" s="28"/>
      <c r="AT254" s="28"/>
      <c r="AU254" s="28"/>
      <c r="AV254" s="28"/>
      <c r="AW254" s="28"/>
      <c r="AX254" s="28"/>
      <c r="AY254" s="28"/>
      <c r="AZ254" s="28"/>
      <c r="BA254" s="28"/>
      <c r="BB254" s="28"/>
      <c r="BC254" s="28"/>
      <c r="BD254" s="28"/>
      <c r="BE254" s="28"/>
    </row>
    <row r="255" ht="13.55" customHeight="1">
      <c r="A255" s="28"/>
      <c r="B255" s="28"/>
      <c r="C255" s="28"/>
      <c r="D255" s="28"/>
      <c r="E255" s="28"/>
      <c r="F255" s="28"/>
      <c r="G255" s="28"/>
      <c r="H255" s="28"/>
      <c r="I255" s="28"/>
      <c r="J255" s="25">
        <f>9*J254</f>
        <v>0.342857142857143</v>
      </c>
      <c r="K255" s="25">
        <f>22.5*K254</f>
        <v>10.9285714285714</v>
      </c>
      <c r="L255" s="25">
        <f>31*L254</f>
        <v>12.5476190476191</v>
      </c>
      <c r="M255" s="25">
        <f>40.5*M254</f>
        <v>1.54285714285714</v>
      </c>
      <c r="N255" s="25">
        <f>53*N254</f>
        <v>1.51428571428572</v>
      </c>
      <c r="O255" s="25">
        <f>70*O254</f>
        <v>0.333333333333333</v>
      </c>
      <c r="P255" s="25">
        <f>175/210</f>
        <v>0.833333333333333</v>
      </c>
      <c r="Q255" s="28"/>
      <c r="R255" s="25">
        <f>12*R254</f>
        <v>2.68571428571429</v>
      </c>
      <c r="S255" s="25">
        <f>24*S254</f>
        <v>8.9142857142857</v>
      </c>
      <c r="T255" s="25">
        <f>60*T254</f>
        <v>8.285714285714279</v>
      </c>
      <c r="U255" s="25">
        <f>84*U254</f>
        <v>11.6</v>
      </c>
      <c r="V255" s="25">
        <f>126*V254</f>
        <v>9.6</v>
      </c>
      <c r="W255" s="25">
        <f>204*W254</f>
        <v>8.742857142857151</v>
      </c>
      <c r="X255" s="25">
        <f>15*X254</f>
        <v>0.432692307692307</v>
      </c>
      <c r="Y255" s="25">
        <f>20*Y254</f>
        <v>8.84615384615384</v>
      </c>
      <c r="Z255" s="25">
        <f>23*Z254</f>
        <v>6.63461538461537</v>
      </c>
      <c r="AA255" s="25">
        <f>26*AA254</f>
        <v>5.12500000000001</v>
      </c>
      <c r="AB255" s="25">
        <f>30*AB254</f>
        <v>1.29807692307692</v>
      </c>
      <c r="AC255" s="28"/>
      <c r="AD255" s="25">
        <f>1.5*AD254</f>
        <v>0.400000000000001</v>
      </c>
      <c r="AE255" s="25">
        <f>4.5*AE254</f>
        <v>1.82142857142857</v>
      </c>
      <c r="AF255" s="25">
        <f>6.5*AF254</f>
        <v>1.33095238095238</v>
      </c>
      <c r="AG255" s="25">
        <f>8.5*AG254</f>
        <v>0.809523809523809</v>
      </c>
      <c r="AH255" s="25">
        <f>11*AH254</f>
        <v>0.314285714285715</v>
      </c>
      <c r="AI255" t="s" s="27">
        <v>602</v>
      </c>
      <c r="AJ255" s="25">
        <f>AJ253/378</f>
        <v>0.444444444444444</v>
      </c>
      <c r="AK255" s="25">
        <f>AK253/378</f>
        <v>0.169312169312169</v>
      </c>
      <c r="AL255" s="25">
        <f>AL253/378</f>
        <v>0.0317460317460317</v>
      </c>
      <c r="AM255" s="25">
        <f>AM253/378</f>
        <v>0.0291005291005291</v>
      </c>
      <c r="AN255" s="25">
        <f>AN253/378</f>
        <v>0.0714285714285714</v>
      </c>
      <c r="AO255" s="25">
        <f>AO253/378</f>
        <v>0.182539682539683</v>
      </c>
      <c r="AP255" s="25">
        <f>AP253/378</f>
        <v>0.0714285714285714</v>
      </c>
      <c r="AQ255" s="28"/>
      <c r="AR255" t="s" s="27">
        <v>603</v>
      </c>
      <c r="AS255" s="28"/>
      <c r="AT255" s="28"/>
      <c r="AU255" s="28"/>
      <c r="AV255" s="28"/>
      <c r="AW255" s="28"/>
      <c r="AX255" s="28"/>
      <c r="AY255" s="28"/>
      <c r="AZ255" s="28"/>
      <c r="BA255" s="28"/>
      <c r="BB255" s="28"/>
      <c r="BC255" s="28"/>
      <c r="BD255" s="28"/>
      <c r="BE255" s="28"/>
    </row>
    <row r="256" ht="13.55" customHeight="1">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c r="AI256" s="28"/>
      <c r="AJ256" s="28"/>
      <c r="AK256" s="28"/>
      <c r="AL256" s="28"/>
      <c r="AM256" s="28"/>
      <c r="AN256" s="28"/>
      <c r="AO256" s="28"/>
      <c r="AP256" s="28"/>
      <c r="AQ256" s="28"/>
      <c r="AR256" s="28"/>
      <c r="AS256" s="28"/>
      <c r="AT256" s="28"/>
      <c r="AU256" s="28"/>
      <c r="AV256" s="28"/>
      <c r="AW256" s="28"/>
      <c r="AX256" s="28"/>
      <c r="AY256" s="28"/>
      <c r="AZ256" s="28"/>
      <c r="BA256" s="28"/>
      <c r="BB256" s="28"/>
      <c r="BC256" s="28"/>
      <c r="BD256" s="28"/>
      <c r="BE256" s="28"/>
    </row>
    <row r="257" ht="13.55" customHeight="1">
      <c r="A257" s="28"/>
      <c r="B257" s="28"/>
      <c r="C257" s="28"/>
      <c r="D257" s="28"/>
      <c r="E257" s="28"/>
      <c r="F257" s="28"/>
      <c r="G257" s="28"/>
      <c r="H257" s="28"/>
      <c r="I257" t="s" s="27">
        <v>604</v>
      </c>
      <c r="J257" s="25">
        <f>SUM(J255:O255)</f>
        <v>27.2095238095238</v>
      </c>
      <c r="K257" s="28"/>
      <c r="L257" s="28"/>
      <c r="M257" s="28"/>
      <c r="N257" s="28"/>
      <c r="O257" s="28"/>
      <c r="P257" s="28"/>
      <c r="Q257" t="s" s="27">
        <v>605</v>
      </c>
      <c r="R257" s="25">
        <f>SUM(R255:W255)</f>
        <v>49.8285714285714</v>
      </c>
      <c r="S257" s="25">
        <f>R257/12</f>
        <v>4.15238095238095</v>
      </c>
      <c r="T257" s="28"/>
      <c r="U257" s="28"/>
      <c r="V257" s="28"/>
      <c r="W257" t="s" s="27">
        <v>606</v>
      </c>
      <c r="X257" s="25">
        <f>SUM(X255:AB255)</f>
        <v>22.3365384615384</v>
      </c>
      <c r="Y257" s="28"/>
      <c r="Z257" s="28"/>
      <c r="AA257" s="28"/>
      <c r="AB257" s="28"/>
      <c r="AC257" t="s" s="27">
        <v>607</v>
      </c>
      <c r="AD257" s="25">
        <f>SUM(AD255:AH255)</f>
        <v>4.67619047619048</v>
      </c>
      <c r="AE257" s="28"/>
      <c r="AF257" s="28"/>
      <c r="AG257" s="28"/>
      <c r="AH257" s="28"/>
      <c r="AI257" s="28"/>
      <c r="AJ257" s="28"/>
      <c r="AK257" s="28"/>
      <c r="AL257" s="28"/>
      <c r="AM257" s="28"/>
      <c r="AN257" s="28"/>
      <c r="AO257" s="28"/>
      <c r="AP257" s="28"/>
      <c r="AQ257" s="28"/>
      <c r="AR257" s="25">
        <v>36</v>
      </c>
      <c r="AS257" s="25">
        <v>36</v>
      </c>
      <c r="AT257" s="25">
        <v>61</v>
      </c>
      <c r="AU257" s="25">
        <v>28</v>
      </c>
      <c r="AV257" s="25">
        <v>1</v>
      </c>
      <c r="AW257" s="25">
        <v>1</v>
      </c>
      <c r="AX257" s="25">
        <v>5</v>
      </c>
      <c r="AY257" s="25">
        <v>38</v>
      </c>
      <c r="AZ257" s="28"/>
      <c r="BA257" s="28"/>
      <c r="BB257" s="28"/>
      <c r="BC257" s="28"/>
      <c r="BD257" s="28"/>
      <c r="BE257" s="28"/>
    </row>
    <row r="258" ht="13.55" customHeight="1">
      <c r="A258" s="28"/>
      <c r="B258" s="28"/>
      <c r="C258" s="28"/>
      <c r="D258" s="28"/>
      <c r="E258" s="28"/>
      <c r="F258" s="28"/>
      <c r="G258" s="28"/>
      <c r="H258" s="28"/>
      <c r="I258" s="28"/>
      <c r="J258" s="28"/>
      <c r="K258" s="28"/>
      <c r="L258" s="28"/>
      <c r="M258" s="28"/>
      <c r="N258" s="28"/>
      <c r="O258" s="28"/>
      <c r="P258" s="28"/>
      <c r="Q258" s="28"/>
      <c r="R258" s="28"/>
      <c r="S258" t="s" s="27">
        <v>597</v>
      </c>
      <c r="T258" s="28"/>
      <c r="U258" s="28"/>
      <c r="V258" s="28"/>
      <c r="W258" s="28"/>
      <c r="X258" s="28"/>
      <c r="Y258" s="28"/>
      <c r="Z258" s="28"/>
      <c r="AA258" s="28"/>
      <c r="AB258" s="28"/>
      <c r="AC258" s="28"/>
      <c r="AD258" s="28"/>
      <c r="AE258" s="28"/>
      <c r="AF258" s="28"/>
      <c r="AG258" s="28"/>
      <c r="AH258" s="28"/>
      <c r="AI258" s="28"/>
      <c r="AJ258" s="28"/>
      <c r="AK258" s="28"/>
      <c r="AL258" s="28"/>
      <c r="AM258" s="28"/>
      <c r="AN258" s="28"/>
      <c r="AO258" s="28"/>
      <c r="AP258" s="28"/>
      <c r="AQ258" s="28"/>
      <c r="AR258" s="25">
        <f>SUM(AR257:AY257)</f>
        <v>206</v>
      </c>
      <c r="AS258" s="25">
        <f>AR258-43</f>
        <v>163</v>
      </c>
      <c r="AT258" s="28"/>
      <c r="AU258" s="28"/>
      <c r="AV258" s="28"/>
      <c r="AW258" s="28"/>
      <c r="AX258" s="28"/>
      <c r="AY258" s="28"/>
      <c r="AZ258" s="28"/>
      <c r="BA258" s="28"/>
      <c r="BB258" s="28"/>
      <c r="BC258" s="28"/>
      <c r="BD258" s="28"/>
      <c r="BE258" s="28"/>
    </row>
    <row r="259" ht="13.55" customHeight="1">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c r="AG259" s="28"/>
      <c r="AH259" s="28"/>
      <c r="AI259" s="28"/>
      <c r="AJ259" s="28"/>
      <c r="AK259" s="28"/>
      <c r="AL259" s="28"/>
      <c r="AM259" s="28"/>
      <c r="AN259" s="28"/>
      <c r="AO259" s="28"/>
      <c r="AP259" s="28"/>
      <c r="AQ259" t="s" s="27">
        <v>608</v>
      </c>
      <c r="AR259" s="25">
        <f>AR257/203</f>
        <v>0.177339901477833</v>
      </c>
      <c r="AS259" s="25">
        <f>AS257/203</f>
        <v>0.177339901477833</v>
      </c>
      <c r="AT259" s="25">
        <f>AT257/203</f>
        <v>0.300492610837438</v>
      </c>
      <c r="AU259" s="25">
        <f>AU257/203</f>
        <v>0.137931034482759</v>
      </c>
      <c r="AV259" s="25">
        <f>AV257/203</f>
        <v>0.00492610837438424</v>
      </c>
      <c r="AW259" s="25">
        <f>AW257/203</f>
        <v>0.00492610837438424</v>
      </c>
      <c r="AX259" s="25">
        <f>AX257/203</f>
        <v>0.0246305418719212</v>
      </c>
      <c r="AY259" s="25">
        <f>AY257/203</f>
        <v>0.187192118226601</v>
      </c>
      <c r="AZ259" s="28"/>
      <c r="BA259" s="28"/>
      <c r="BB259" s="28"/>
      <c r="BC259" s="28"/>
      <c r="BD259" s="28"/>
      <c r="BE259" s="28"/>
    </row>
    <row r="260" ht="13.55" customHeight="1">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c r="AG260" s="28"/>
      <c r="AH260" s="28"/>
      <c r="AI260" t="s" s="27">
        <v>609</v>
      </c>
      <c r="AJ260" s="28"/>
      <c r="AK260" s="28"/>
      <c r="AL260" s="28"/>
      <c r="AM260" s="28"/>
      <c r="AN260" s="28"/>
      <c r="AO260" s="28"/>
      <c r="AP260" s="28"/>
      <c r="AQ260" s="28"/>
      <c r="AR260" s="25">
        <f>AR257/163</f>
        <v>0.220858895705521</v>
      </c>
      <c r="AS260" s="25">
        <f>AS257/163</f>
        <v>0.220858895705521</v>
      </c>
      <c r="AT260" s="25">
        <f>AT257/163</f>
        <v>0.374233128834356</v>
      </c>
      <c r="AU260" s="25">
        <f>AU257/163</f>
        <v>0.171779141104294</v>
      </c>
      <c r="AV260" s="25">
        <f>AV257/163</f>
        <v>0.00613496932515337</v>
      </c>
      <c r="AW260" s="25">
        <f>AW257/163</f>
        <v>0.00613496932515337</v>
      </c>
      <c r="AX260" t="s" s="27">
        <v>577</v>
      </c>
      <c r="AY260" t="s" s="27">
        <v>577</v>
      </c>
      <c r="AZ260" s="28"/>
      <c r="BA260" s="28"/>
      <c r="BB260" s="28"/>
      <c r="BC260" s="28"/>
      <c r="BD260" s="28"/>
      <c r="BE260" s="28"/>
    </row>
    <row r="261" ht="13.55" customHeight="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c r="AG261" s="28"/>
      <c r="AH261" s="28"/>
      <c r="AI261" s="25">
        <f>SUM(AJ241:AP241)</f>
        <v>432</v>
      </c>
      <c r="AJ261" s="28"/>
      <c r="AK261" s="28"/>
      <c r="AL261" s="28"/>
      <c r="AM261" s="28"/>
      <c r="AN261" s="28"/>
      <c r="AO261" s="28"/>
      <c r="AP261" s="28"/>
      <c r="AQ261" s="28"/>
      <c r="AR261" s="25">
        <f>0.5*AR260</f>
        <v>0.110429447852761</v>
      </c>
      <c r="AS261" s="25">
        <f>1.5*AS260</f>
        <v>0.331288343558282</v>
      </c>
      <c r="AT261" s="25">
        <f>4*AT260</f>
        <v>1.49693251533742</v>
      </c>
      <c r="AU261" s="25">
        <f>9*AU260</f>
        <v>1.54601226993865</v>
      </c>
      <c r="AV261" s="25">
        <f>18*AV260</f>
        <v>0.110429447852761</v>
      </c>
      <c r="AW261" s="25">
        <f>42*AW260</f>
        <v>0.257668711656442</v>
      </c>
      <c r="AX261" s="28"/>
      <c r="AY261" s="28"/>
      <c r="AZ261" s="28"/>
      <c r="BA261" s="28"/>
      <c r="BB261" s="28"/>
      <c r="BC261" s="28"/>
      <c r="BD261" s="28"/>
      <c r="BE261" s="28"/>
    </row>
    <row r="262" ht="13.55" customHeight="1">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c r="AG262" s="28"/>
      <c r="AH262" s="28"/>
      <c r="AI262" s="28"/>
      <c r="AJ262" s="28"/>
      <c r="AK262" s="28"/>
      <c r="AL262" s="28"/>
      <c r="AM262" s="28"/>
      <c r="AN262" s="28"/>
      <c r="AO262" s="28"/>
      <c r="AP262" s="28"/>
      <c r="AQ262" s="28"/>
      <c r="AR262" s="28"/>
      <c r="AS262" s="28"/>
      <c r="AT262" s="28"/>
      <c r="AU262" s="28"/>
      <c r="AV262" s="28"/>
      <c r="AW262" s="28"/>
      <c r="AX262" s="28"/>
      <c r="AY262" s="28"/>
      <c r="AZ262" s="28"/>
      <c r="BA262" s="28"/>
      <c r="BB262" s="28"/>
      <c r="BC262" s="28"/>
      <c r="BD262" s="28"/>
      <c r="BE262" s="28"/>
    </row>
    <row r="263" ht="13.55" customHeight="1">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c r="AG263" s="28"/>
      <c r="AH263" s="28"/>
      <c r="AI263" s="28"/>
      <c r="AJ263" s="28"/>
      <c r="AK263" s="28"/>
      <c r="AL263" s="28"/>
      <c r="AM263" s="28"/>
      <c r="AN263" s="28"/>
      <c r="AO263" s="28"/>
      <c r="AP263" s="28"/>
      <c r="AQ263" s="28"/>
      <c r="AR263" s="25">
        <f>SUM(AR261:AW261)</f>
        <v>3.85276073619632</v>
      </c>
      <c r="AS263" t="s" s="27">
        <v>610</v>
      </c>
      <c r="AT263" s="28"/>
      <c r="AU263" s="28"/>
      <c r="AV263" s="28"/>
      <c r="AW263" s="28"/>
      <c r="AX263" s="28"/>
      <c r="AY263" s="28"/>
      <c r="AZ263" s="28"/>
      <c r="BA263" s="28"/>
      <c r="BB263" s="28"/>
      <c r="BC263" s="28"/>
      <c r="BD263" s="28"/>
      <c r="BE263" s="28"/>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H206"/>
  <sheetViews>
    <sheetView workbookViewId="0" showGridLines="0" defaultGridColor="1"/>
  </sheetViews>
  <sheetFormatPr defaultColWidth="10.8333" defaultRowHeight="14" customHeight="1" outlineLevelRow="0" outlineLevelCol="0"/>
  <cols>
    <col min="1" max="8" width="10.8516" style="47" customWidth="1"/>
    <col min="9" max="16384" width="10.8516" style="47" customWidth="1"/>
  </cols>
  <sheetData>
    <row r="1" ht="13.55" customHeight="1">
      <c r="A1" s="25">
        <v>8</v>
      </c>
      <c r="B1" s="25">
        <v>8</v>
      </c>
      <c r="C1" s="28"/>
      <c r="D1" s="28"/>
      <c r="E1" s="28"/>
      <c r="F1" s="28"/>
      <c r="G1" s="28"/>
      <c r="H1" s="28"/>
    </row>
    <row r="2" ht="13.55" customHeight="1">
      <c r="A2" s="25">
        <v>8</v>
      </c>
      <c r="B2" s="25">
        <v>8</v>
      </c>
      <c r="C2" s="28"/>
      <c r="D2" s="28"/>
      <c r="E2" s="28"/>
      <c r="F2" s="28"/>
      <c r="G2" s="28"/>
      <c r="H2" s="28"/>
    </row>
    <row r="3" ht="13.55" customHeight="1">
      <c r="A3" s="25">
        <v>8</v>
      </c>
      <c r="B3" s="25">
        <v>8</v>
      </c>
      <c r="C3" s="28"/>
      <c r="D3" s="28"/>
      <c r="E3" s="28"/>
      <c r="F3" s="28"/>
      <c r="G3" s="28"/>
      <c r="H3" s="28"/>
    </row>
    <row r="4" ht="13.55" customHeight="1">
      <c r="A4" s="25">
        <v>8</v>
      </c>
      <c r="B4" s="25">
        <v>8</v>
      </c>
      <c r="C4" s="28"/>
      <c r="D4" s="28"/>
      <c r="E4" s="28"/>
      <c r="F4" s="28"/>
      <c r="G4" s="28"/>
      <c r="H4" s="28"/>
    </row>
    <row r="5" ht="13.55" customHeight="1">
      <c r="A5" s="25">
        <v>8</v>
      </c>
      <c r="B5" s="25">
        <v>8</v>
      </c>
      <c r="C5" s="28"/>
      <c r="D5" s="28"/>
      <c r="E5" s="28"/>
      <c r="F5" s="28"/>
      <c r="G5" s="28"/>
      <c r="H5" s="28"/>
    </row>
    <row r="6" ht="13.55" customHeight="1">
      <c r="A6" s="25">
        <v>8</v>
      </c>
      <c r="B6" s="25">
        <v>8</v>
      </c>
      <c r="C6" s="28"/>
      <c r="D6" s="28"/>
      <c r="E6" s="28"/>
      <c r="F6" s="28"/>
      <c r="G6" s="28"/>
      <c r="H6" s="28"/>
    </row>
    <row r="7" ht="13.55" customHeight="1">
      <c r="A7" s="25">
        <v>8</v>
      </c>
      <c r="B7" s="25">
        <v>8</v>
      </c>
      <c r="C7" s="28"/>
      <c r="D7" s="28"/>
      <c r="E7" s="28"/>
      <c r="F7" s="28"/>
      <c r="G7" s="28"/>
      <c r="H7" s="28"/>
    </row>
    <row r="8" ht="13.55" customHeight="1">
      <c r="A8" s="25">
        <v>8</v>
      </c>
      <c r="B8" s="25">
        <v>8</v>
      </c>
      <c r="C8" s="28"/>
      <c r="D8" s="28"/>
      <c r="E8" s="28"/>
      <c r="F8" s="28"/>
      <c r="G8" s="28"/>
      <c r="H8" t="s" s="27">
        <v>612</v>
      </c>
    </row>
    <row r="9" ht="13.55" customHeight="1">
      <c r="A9" s="25">
        <v>5</v>
      </c>
      <c r="B9" s="25">
        <v>8</v>
      </c>
      <c r="C9" s="28"/>
      <c r="D9" t="s" s="27">
        <v>613</v>
      </c>
      <c r="E9" s="28"/>
      <c r="F9" s="28"/>
      <c r="G9" s="25">
        <f>AVERAGE(A1:A27)</f>
        <v>5.03703703703704</v>
      </c>
      <c r="H9" s="25">
        <f>1-G9</f>
        <v>-4.03703703703704</v>
      </c>
    </row>
    <row r="10" ht="13.55" customHeight="1">
      <c r="A10" s="25">
        <v>5</v>
      </c>
      <c r="B10" s="25">
        <v>8</v>
      </c>
      <c r="C10" s="28"/>
      <c r="D10" t="s" s="27">
        <v>614</v>
      </c>
      <c r="E10" s="28"/>
      <c r="F10" s="28"/>
      <c r="G10" s="25">
        <f>AVERAGE(B1:B206)</f>
        <v>3.8252427184466</v>
      </c>
      <c r="H10" s="25">
        <f>1-G10</f>
        <v>-2.8252427184466</v>
      </c>
    </row>
    <row r="11" ht="13.55" customHeight="1">
      <c r="A11" s="25">
        <v>5</v>
      </c>
      <c r="B11" s="25">
        <v>8</v>
      </c>
      <c r="C11" s="28"/>
      <c r="D11" s="28"/>
      <c r="E11" s="28"/>
      <c r="F11" s="28"/>
      <c r="G11" s="28"/>
      <c r="H11" s="28"/>
    </row>
    <row r="12" ht="13.55" customHeight="1">
      <c r="A12" s="25">
        <v>5</v>
      </c>
      <c r="B12" s="25">
        <v>8</v>
      </c>
      <c r="C12" s="28"/>
      <c r="D12" t="s" s="27">
        <v>615</v>
      </c>
      <c r="E12" s="28"/>
      <c r="F12" s="28"/>
      <c r="G12" s="28"/>
      <c r="H12" s="28"/>
    </row>
    <row r="13" ht="13.55" customHeight="1">
      <c r="A13" s="25">
        <v>5</v>
      </c>
      <c r="B13" s="25">
        <v>8</v>
      </c>
      <c r="C13" s="28"/>
      <c r="D13" t="s" s="27">
        <v>616</v>
      </c>
      <c r="E13" s="28"/>
      <c r="F13" s="28"/>
      <c r="G13" s="28"/>
      <c r="H13" s="28"/>
    </row>
    <row r="14" ht="13.55" customHeight="1">
      <c r="A14" s="25">
        <v>4</v>
      </c>
      <c r="B14" s="25">
        <v>8</v>
      </c>
      <c r="C14" s="28"/>
      <c r="D14" s="28"/>
      <c r="E14" s="28"/>
      <c r="F14" s="28"/>
      <c r="G14" s="28"/>
      <c r="H14" s="28"/>
    </row>
    <row r="15" ht="13.55" customHeight="1">
      <c r="A15" s="25">
        <v>4</v>
      </c>
      <c r="B15" s="25">
        <v>8</v>
      </c>
      <c r="C15" s="28"/>
      <c r="D15" s="25">
        <f>TTEST(A1:A27,B1:B206,2,2)</f>
        <v>0.0143590225641818</v>
      </c>
      <c r="E15" s="28"/>
      <c r="F15" s="28"/>
      <c r="G15" s="28"/>
      <c r="H15" s="28"/>
    </row>
    <row r="16" ht="13.55" customHeight="1">
      <c r="A16" s="25">
        <v>4</v>
      </c>
      <c r="B16" s="25">
        <v>8</v>
      </c>
      <c r="C16" s="28"/>
      <c r="D16" s="28"/>
      <c r="E16" s="28"/>
      <c r="F16" s="28"/>
      <c r="G16" s="28"/>
      <c r="H16" s="28"/>
    </row>
    <row r="17" ht="13.55" customHeight="1">
      <c r="A17" s="25">
        <v>4</v>
      </c>
      <c r="B17" s="25">
        <v>8</v>
      </c>
      <c r="C17" s="28"/>
      <c r="D17" s="28"/>
      <c r="E17" s="28"/>
      <c r="F17" s="28"/>
      <c r="G17" s="28"/>
      <c r="H17" s="28"/>
    </row>
    <row r="18" ht="13.55" customHeight="1">
      <c r="A18" s="25">
        <v>4</v>
      </c>
      <c r="B18" s="25">
        <v>8</v>
      </c>
      <c r="C18" s="28"/>
      <c r="D18" s="28"/>
      <c r="E18" s="28"/>
      <c r="F18" s="28"/>
      <c r="G18" s="28"/>
      <c r="H18" s="28"/>
    </row>
    <row r="19" ht="13.55" customHeight="1">
      <c r="A19" s="25">
        <v>4</v>
      </c>
      <c r="B19" s="25">
        <v>8</v>
      </c>
      <c r="C19" s="28"/>
      <c r="D19" s="28"/>
      <c r="E19" s="28"/>
      <c r="F19" s="28"/>
      <c r="G19" s="28"/>
      <c r="H19" s="28"/>
    </row>
    <row r="20" ht="13.55" customHeight="1">
      <c r="A20" s="25">
        <v>3</v>
      </c>
      <c r="B20" s="25">
        <v>8</v>
      </c>
      <c r="C20" s="28"/>
      <c r="D20" s="28"/>
      <c r="E20" s="28"/>
      <c r="F20" s="28"/>
      <c r="G20" s="28"/>
      <c r="H20" s="28"/>
    </row>
    <row r="21" ht="13.55" customHeight="1">
      <c r="A21" s="25">
        <v>3</v>
      </c>
      <c r="B21" s="25">
        <v>8</v>
      </c>
      <c r="C21" s="28"/>
      <c r="D21" s="28"/>
      <c r="E21" s="28"/>
      <c r="F21" s="28"/>
      <c r="G21" s="28"/>
      <c r="H21" s="28"/>
    </row>
    <row r="22" ht="13.55" customHeight="1">
      <c r="A22" s="25">
        <v>3</v>
      </c>
      <c r="B22" s="25">
        <v>8</v>
      </c>
      <c r="C22" s="28"/>
      <c r="D22" s="28"/>
      <c r="E22" s="28"/>
      <c r="F22" s="28"/>
      <c r="G22" s="28"/>
      <c r="H22" s="28"/>
    </row>
    <row r="23" ht="13.55" customHeight="1">
      <c r="A23" s="25">
        <v>3</v>
      </c>
      <c r="B23" s="25">
        <v>8</v>
      </c>
      <c r="C23" s="28"/>
      <c r="D23" s="28"/>
      <c r="E23" s="28"/>
      <c r="F23" s="28"/>
      <c r="G23" s="28"/>
      <c r="H23" s="28"/>
    </row>
    <row r="24" ht="13.55" customHeight="1">
      <c r="A24" s="25">
        <v>3</v>
      </c>
      <c r="B24" s="25">
        <v>8</v>
      </c>
      <c r="C24" s="28"/>
      <c r="D24" s="28"/>
      <c r="E24" s="28"/>
      <c r="F24" s="28"/>
      <c r="G24" s="28"/>
      <c r="H24" s="28"/>
    </row>
    <row r="25" ht="13.55" customHeight="1">
      <c r="A25" s="25">
        <v>3</v>
      </c>
      <c r="B25" s="25">
        <v>8</v>
      </c>
      <c r="C25" s="28"/>
      <c r="D25" s="28"/>
      <c r="E25" s="28"/>
      <c r="F25" s="28"/>
      <c r="G25" s="28"/>
      <c r="H25" s="28"/>
    </row>
    <row r="26" ht="13.55" customHeight="1">
      <c r="A26" s="25">
        <v>3</v>
      </c>
      <c r="B26" s="25">
        <v>8</v>
      </c>
      <c r="C26" s="28"/>
      <c r="D26" s="28"/>
      <c r="E26" s="28"/>
      <c r="F26" s="28"/>
      <c r="G26" s="28"/>
      <c r="H26" s="28"/>
    </row>
    <row r="27" ht="13.55" customHeight="1">
      <c r="A27" s="25">
        <v>2</v>
      </c>
      <c r="B27" s="25">
        <v>8</v>
      </c>
      <c r="C27" s="28"/>
      <c r="D27" s="28"/>
      <c r="E27" s="28"/>
      <c r="F27" s="28"/>
      <c r="G27" s="28"/>
      <c r="H27" s="28"/>
    </row>
    <row r="28" ht="13.55" customHeight="1">
      <c r="A28" s="28"/>
      <c r="B28" s="25">
        <v>8</v>
      </c>
      <c r="C28" s="28"/>
      <c r="D28" s="28"/>
      <c r="E28" s="28"/>
      <c r="F28" s="28"/>
      <c r="G28" s="28"/>
      <c r="H28" s="28"/>
    </row>
    <row r="29" ht="13.55" customHeight="1">
      <c r="A29" s="28"/>
      <c r="B29" s="25">
        <v>8</v>
      </c>
      <c r="C29" s="28"/>
      <c r="D29" s="28"/>
      <c r="E29" s="28"/>
      <c r="F29" s="28"/>
      <c r="G29" s="28"/>
      <c r="H29" s="28"/>
    </row>
    <row r="30" ht="13.55" customHeight="1">
      <c r="A30" s="28"/>
      <c r="B30" s="25">
        <v>8</v>
      </c>
      <c r="C30" s="28"/>
      <c r="D30" s="28"/>
      <c r="E30" s="28"/>
      <c r="F30" s="28"/>
      <c r="G30" s="28"/>
      <c r="H30" s="28"/>
    </row>
    <row r="31" ht="13.55" customHeight="1">
      <c r="A31" s="28"/>
      <c r="B31" s="25">
        <v>8</v>
      </c>
      <c r="C31" s="28"/>
      <c r="D31" s="28"/>
      <c r="E31" s="28"/>
      <c r="F31" s="28"/>
      <c r="G31" s="28"/>
      <c r="H31" s="28"/>
    </row>
    <row r="32" ht="13.55" customHeight="1">
      <c r="A32" s="28"/>
      <c r="B32" s="25">
        <v>8</v>
      </c>
      <c r="C32" s="28"/>
      <c r="D32" s="28"/>
      <c r="E32" s="28"/>
      <c r="F32" s="28"/>
      <c r="G32" s="28"/>
      <c r="H32" s="28"/>
    </row>
    <row r="33" ht="13.55" customHeight="1">
      <c r="A33" s="28"/>
      <c r="B33" s="25">
        <v>8</v>
      </c>
      <c r="C33" s="28"/>
      <c r="D33" s="28"/>
      <c r="E33" s="28"/>
      <c r="F33" s="28"/>
      <c r="G33" s="28"/>
      <c r="H33" s="28"/>
    </row>
    <row r="34" ht="13.55" customHeight="1">
      <c r="A34" s="28"/>
      <c r="B34" s="25">
        <v>8</v>
      </c>
      <c r="C34" s="28"/>
      <c r="D34" s="28"/>
      <c r="E34" s="28"/>
      <c r="F34" s="28"/>
      <c r="G34" s="28"/>
      <c r="H34" s="28"/>
    </row>
    <row r="35" ht="13.55" customHeight="1">
      <c r="A35" s="28"/>
      <c r="B35" s="25">
        <v>8</v>
      </c>
      <c r="C35" s="28"/>
      <c r="D35" s="28"/>
      <c r="E35" s="28"/>
      <c r="F35" s="28"/>
      <c r="G35" s="28"/>
      <c r="H35" s="28"/>
    </row>
    <row r="36" ht="13.55" customHeight="1">
      <c r="A36" s="28"/>
      <c r="B36" s="25">
        <v>8</v>
      </c>
      <c r="C36" s="28"/>
      <c r="D36" s="28"/>
      <c r="E36" s="28"/>
      <c r="F36" s="28"/>
      <c r="G36" s="28"/>
      <c r="H36" s="28"/>
    </row>
    <row r="37" ht="13.55" customHeight="1">
      <c r="A37" s="28"/>
      <c r="B37" s="25">
        <v>8</v>
      </c>
      <c r="C37" s="28"/>
      <c r="D37" s="28"/>
      <c r="E37" s="28"/>
      <c r="F37" s="28"/>
      <c r="G37" s="28"/>
      <c r="H37" s="28"/>
    </row>
    <row r="38" ht="13.55" customHeight="1">
      <c r="A38" s="28"/>
      <c r="B38" s="25">
        <v>8</v>
      </c>
      <c r="C38" s="28"/>
      <c r="D38" s="28"/>
      <c r="E38" s="28"/>
      <c r="F38" s="28"/>
      <c r="G38" s="28"/>
      <c r="H38" s="28"/>
    </row>
    <row r="39" ht="13.55" customHeight="1">
      <c r="A39" s="28"/>
      <c r="B39" s="25">
        <v>8</v>
      </c>
      <c r="C39" s="28"/>
      <c r="D39" s="28"/>
      <c r="E39" s="28"/>
      <c r="F39" s="28"/>
      <c r="G39" s="28"/>
      <c r="H39" s="28"/>
    </row>
    <row r="40" ht="13.55" customHeight="1">
      <c r="A40" s="28"/>
      <c r="B40" s="25">
        <v>8</v>
      </c>
      <c r="C40" s="28"/>
      <c r="D40" s="28"/>
      <c r="E40" s="28"/>
      <c r="F40" s="28"/>
      <c r="G40" s="28"/>
      <c r="H40" s="28"/>
    </row>
    <row r="41" ht="13.55" customHeight="1">
      <c r="A41" s="28"/>
      <c r="B41" s="25">
        <v>8</v>
      </c>
      <c r="C41" s="28"/>
      <c r="D41" s="28"/>
      <c r="E41" s="28"/>
      <c r="F41" s="28"/>
      <c r="G41" s="28"/>
      <c r="H41" s="28"/>
    </row>
    <row r="42" ht="13.55" customHeight="1">
      <c r="A42" s="28"/>
      <c r="B42" s="25">
        <v>8</v>
      </c>
      <c r="C42" s="28"/>
      <c r="D42" s="28"/>
      <c r="E42" s="28"/>
      <c r="F42" s="28"/>
      <c r="G42" s="28"/>
      <c r="H42" s="28"/>
    </row>
    <row r="43" ht="13.55" customHeight="1">
      <c r="A43" s="28"/>
      <c r="B43" s="25">
        <v>8</v>
      </c>
      <c r="C43" s="28"/>
      <c r="D43" s="28"/>
      <c r="E43" s="28"/>
      <c r="F43" s="28"/>
      <c r="G43" s="28"/>
      <c r="H43" s="28"/>
    </row>
    <row r="44" ht="13.55" customHeight="1">
      <c r="A44" s="28"/>
      <c r="B44" s="25">
        <v>7</v>
      </c>
      <c r="C44" s="28"/>
      <c r="D44" s="28"/>
      <c r="E44" s="28"/>
      <c r="F44" s="28"/>
      <c r="G44" s="28"/>
      <c r="H44" s="28"/>
    </row>
    <row r="45" ht="13.55" customHeight="1">
      <c r="A45" s="28"/>
      <c r="B45" s="25">
        <v>7</v>
      </c>
      <c r="C45" s="28"/>
      <c r="D45" s="28"/>
      <c r="E45" s="28"/>
      <c r="F45" s="28"/>
      <c r="G45" s="28"/>
      <c r="H45" s="28"/>
    </row>
    <row r="46" ht="13.55" customHeight="1">
      <c r="A46" s="28"/>
      <c r="B46" s="25">
        <v>7</v>
      </c>
      <c r="C46" s="28"/>
      <c r="D46" s="28"/>
      <c r="E46" s="28"/>
      <c r="F46" s="28"/>
      <c r="G46" s="28"/>
      <c r="H46" s="28"/>
    </row>
    <row r="47" ht="13.55" customHeight="1">
      <c r="A47" s="28"/>
      <c r="B47" s="25">
        <v>7</v>
      </c>
      <c r="C47" s="28"/>
      <c r="D47" s="28"/>
      <c r="E47" s="28"/>
      <c r="F47" s="28"/>
      <c r="G47" s="28"/>
      <c r="H47" s="28"/>
    </row>
    <row r="48" ht="13.55" customHeight="1">
      <c r="A48" s="28"/>
      <c r="B48" s="25">
        <v>7</v>
      </c>
      <c r="C48" s="28"/>
      <c r="D48" s="28"/>
      <c r="E48" s="28"/>
      <c r="F48" s="28"/>
      <c r="G48" s="28"/>
      <c r="H48" s="28"/>
    </row>
    <row r="49" ht="13.55" customHeight="1">
      <c r="A49" s="28"/>
      <c r="B49" s="25">
        <v>6</v>
      </c>
      <c r="C49" s="28"/>
      <c r="D49" s="28"/>
      <c r="E49" s="28"/>
      <c r="F49" s="28"/>
      <c r="G49" s="28"/>
      <c r="H49" s="28"/>
    </row>
    <row r="50" ht="13.55" customHeight="1">
      <c r="A50" s="28"/>
      <c r="B50" s="25">
        <v>5</v>
      </c>
      <c r="C50" s="28"/>
      <c r="D50" s="28"/>
      <c r="E50" s="28"/>
      <c r="F50" s="28"/>
      <c r="G50" s="28"/>
      <c r="H50" s="28"/>
    </row>
    <row r="51" ht="13.55" customHeight="1">
      <c r="A51" s="28"/>
      <c r="B51" s="25">
        <v>4</v>
      </c>
      <c r="C51" s="28"/>
      <c r="D51" s="28"/>
      <c r="E51" s="28"/>
      <c r="F51" s="28"/>
      <c r="G51" s="28"/>
      <c r="H51" s="28"/>
    </row>
    <row r="52" ht="13.55" customHeight="1">
      <c r="A52" s="28"/>
      <c r="B52" s="25">
        <v>4</v>
      </c>
      <c r="C52" s="28"/>
      <c r="D52" s="28"/>
      <c r="E52" s="28"/>
      <c r="F52" s="28"/>
      <c r="G52" s="28"/>
      <c r="H52" s="28"/>
    </row>
    <row r="53" ht="13.55" customHeight="1">
      <c r="A53" s="28"/>
      <c r="B53" s="25">
        <v>4</v>
      </c>
      <c r="C53" s="28"/>
      <c r="D53" s="28"/>
      <c r="E53" s="28"/>
      <c r="F53" s="28"/>
      <c r="G53" s="28"/>
      <c r="H53" s="28"/>
    </row>
    <row r="54" ht="13.55" customHeight="1">
      <c r="A54" s="28"/>
      <c r="B54" s="25">
        <v>4</v>
      </c>
      <c r="C54" s="28"/>
      <c r="D54" s="28"/>
      <c r="E54" s="28"/>
      <c r="F54" s="28"/>
      <c r="G54" s="28"/>
      <c r="H54" s="28"/>
    </row>
    <row r="55" ht="13.55" customHeight="1">
      <c r="A55" s="28"/>
      <c r="B55" s="25">
        <v>4</v>
      </c>
      <c r="C55" s="28"/>
      <c r="D55" s="28"/>
      <c r="E55" s="28"/>
      <c r="F55" s="28"/>
      <c r="G55" s="28"/>
      <c r="H55" s="28"/>
    </row>
    <row r="56" ht="13.55" customHeight="1">
      <c r="A56" s="28"/>
      <c r="B56" s="25">
        <v>4</v>
      </c>
      <c r="C56" s="28"/>
      <c r="D56" s="28"/>
      <c r="E56" s="28"/>
      <c r="F56" s="28"/>
      <c r="G56" s="28"/>
      <c r="H56" s="28"/>
    </row>
    <row r="57" ht="13.55" customHeight="1">
      <c r="A57" s="28"/>
      <c r="B57" s="25">
        <v>4</v>
      </c>
      <c r="C57" s="28"/>
      <c r="D57" s="28"/>
      <c r="E57" s="28"/>
      <c r="F57" s="28"/>
      <c r="G57" s="28"/>
      <c r="H57" s="28"/>
    </row>
    <row r="58" ht="13.55" customHeight="1">
      <c r="A58" s="28"/>
      <c r="B58" s="25">
        <v>4</v>
      </c>
      <c r="C58" s="28"/>
      <c r="D58" s="28"/>
      <c r="E58" s="28"/>
      <c r="F58" s="28"/>
      <c r="G58" s="28"/>
      <c r="H58" s="28"/>
    </row>
    <row r="59" ht="13.55" customHeight="1">
      <c r="A59" s="28"/>
      <c r="B59" s="25">
        <v>4</v>
      </c>
      <c r="C59" s="28"/>
      <c r="D59" s="28"/>
      <c r="E59" s="28"/>
      <c r="F59" s="28"/>
      <c r="G59" s="28"/>
      <c r="H59" s="28"/>
    </row>
    <row r="60" ht="13.55" customHeight="1">
      <c r="A60" s="28"/>
      <c r="B60" s="25">
        <v>4</v>
      </c>
      <c r="C60" s="28"/>
      <c r="D60" s="28"/>
      <c r="E60" s="28"/>
      <c r="F60" s="28"/>
      <c r="G60" s="28"/>
      <c r="H60" s="28"/>
    </row>
    <row r="61" ht="13.55" customHeight="1">
      <c r="A61" s="28"/>
      <c r="B61" s="25">
        <v>4</v>
      </c>
      <c r="C61" s="28"/>
      <c r="D61" s="28"/>
      <c r="E61" s="28"/>
      <c r="F61" s="28"/>
      <c r="G61" s="28"/>
      <c r="H61" s="28"/>
    </row>
    <row r="62" ht="13.55" customHeight="1">
      <c r="A62" s="28"/>
      <c r="B62" s="25">
        <v>4</v>
      </c>
      <c r="C62" s="28"/>
      <c r="D62" s="28"/>
      <c r="E62" s="28"/>
      <c r="F62" s="28"/>
      <c r="G62" s="28"/>
      <c r="H62" s="28"/>
    </row>
    <row r="63" ht="13.55" customHeight="1">
      <c r="A63" s="28"/>
      <c r="B63" s="25">
        <v>4</v>
      </c>
      <c r="C63" s="28"/>
      <c r="D63" s="28"/>
      <c r="E63" s="28"/>
      <c r="F63" s="28"/>
      <c r="G63" s="28"/>
      <c r="H63" s="28"/>
    </row>
    <row r="64" ht="13.55" customHeight="1">
      <c r="A64" s="28"/>
      <c r="B64" s="25">
        <v>4</v>
      </c>
      <c r="C64" s="28"/>
      <c r="D64" s="28"/>
      <c r="E64" s="28"/>
      <c r="F64" s="28"/>
      <c r="G64" s="28"/>
      <c r="H64" s="28"/>
    </row>
    <row r="65" ht="13.55" customHeight="1">
      <c r="A65" s="28"/>
      <c r="B65" s="25">
        <v>4</v>
      </c>
      <c r="C65" s="28"/>
      <c r="D65" s="28"/>
      <c r="E65" s="28"/>
      <c r="F65" s="28"/>
      <c r="G65" s="28"/>
      <c r="H65" s="28"/>
    </row>
    <row r="66" ht="13.55" customHeight="1">
      <c r="A66" s="28"/>
      <c r="B66" s="25">
        <v>4</v>
      </c>
      <c r="C66" s="28"/>
      <c r="D66" s="28"/>
      <c r="E66" s="28"/>
      <c r="F66" s="28"/>
      <c r="G66" s="28"/>
      <c r="H66" s="28"/>
    </row>
    <row r="67" ht="13.55" customHeight="1">
      <c r="A67" s="28"/>
      <c r="B67" s="25">
        <v>4</v>
      </c>
      <c r="C67" s="28"/>
      <c r="D67" s="28"/>
      <c r="E67" s="28"/>
      <c r="F67" s="28"/>
      <c r="G67" s="28"/>
      <c r="H67" s="28"/>
    </row>
    <row r="68" ht="13.55" customHeight="1">
      <c r="A68" s="28"/>
      <c r="B68" s="25">
        <v>4</v>
      </c>
      <c r="C68" s="28"/>
      <c r="D68" s="28"/>
      <c r="E68" s="28"/>
      <c r="F68" s="28"/>
      <c r="G68" s="28"/>
      <c r="H68" s="28"/>
    </row>
    <row r="69" ht="13.55" customHeight="1">
      <c r="A69" s="28"/>
      <c r="B69" s="25">
        <v>4</v>
      </c>
      <c r="C69" s="28"/>
      <c r="D69" s="28"/>
      <c r="E69" s="28"/>
      <c r="F69" s="28"/>
      <c r="G69" s="28"/>
      <c r="H69" s="28"/>
    </row>
    <row r="70" ht="13.55" customHeight="1">
      <c r="A70" s="28"/>
      <c r="B70" s="25">
        <v>4</v>
      </c>
      <c r="C70" s="28"/>
      <c r="D70" s="28"/>
      <c r="E70" s="28"/>
      <c r="F70" s="28"/>
      <c r="G70" s="28"/>
      <c r="H70" s="28"/>
    </row>
    <row r="71" ht="13.55" customHeight="1">
      <c r="A71" s="28"/>
      <c r="B71" s="25">
        <v>4</v>
      </c>
      <c r="C71" s="28"/>
      <c r="D71" s="28"/>
      <c r="E71" s="28"/>
      <c r="F71" s="28"/>
      <c r="G71" s="28"/>
      <c r="H71" s="28"/>
    </row>
    <row r="72" ht="13.55" customHeight="1">
      <c r="A72" s="28"/>
      <c r="B72" s="25">
        <v>4</v>
      </c>
      <c r="C72" s="28"/>
      <c r="D72" s="28"/>
      <c r="E72" s="28"/>
      <c r="F72" s="28"/>
      <c r="G72" s="28"/>
      <c r="H72" s="28"/>
    </row>
    <row r="73" ht="13.55" customHeight="1">
      <c r="A73" s="28"/>
      <c r="B73" s="25">
        <v>4</v>
      </c>
      <c r="C73" s="28"/>
      <c r="D73" s="28"/>
      <c r="E73" s="28"/>
      <c r="F73" s="28"/>
      <c r="G73" s="28"/>
      <c r="H73" s="28"/>
    </row>
    <row r="74" ht="13.55" customHeight="1">
      <c r="A74" s="28"/>
      <c r="B74" s="25">
        <v>4</v>
      </c>
      <c r="C74" s="28"/>
      <c r="D74" s="28"/>
      <c r="E74" s="28"/>
      <c r="F74" s="28"/>
      <c r="G74" s="28"/>
      <c r="H74" s="28"/>
    </row>
    <row r="75" ht="13.55" customHeight="1">
      <c r="A75" s="28"/>
      <c r="B75" s="25">
        <v>4</v>
      </c>
      <c r="C75" s="28"/>
      <c r="D75" s="28"/>
      <c r="E75" s="28"/>
      <c r="F75" s="28"/>
      <c r="G75" s="28"/>
      <c r="H75" s="28"/>
    </row>
    <row r="76" ht="13.55" customHeight="1">
      <c r="A76" s="28"/>
      <c r="B76" s="25">
        <v>4</v>
      </c>
      <c r="C76" s="28"/>
      <c r="D76" s="28"/>
      <c r="E76" s="28"/>
      <c r="F76" s="28"/>
      <c r="G76" s="28"/>
      <c r="H76" s="28"/>
    </row>
    <row r="77" ht="13.55" customHeight="1">
      <c r="A77" s="28"/>
      <c r="B77" s="25">
        <v>4</v>
      </c>
      <c r="C77" s="28"/>
      <c r="D77" s="28"/>
      <c r="E77" s="28"/>
      <c r="F77" s="28"/>
      <c r="G77" s="28"/>
      <c r="H77" s="28"/>
    </row>
    <row r="78" ht="13.55" customHeight="1">
      <c r="A78" s="28"/>
      <c r="B78" s="25">
        <v>4</v>
      </c>
      <c r="C78" s="28"/>
      <c r="D78" s="28"/>
      <c r="E78" s="28"/>
      <c r="F78" s="28"/>
      <c r="G78" s="28"/>
      <c r="H78" s="28"/>
    </row>
    <row r="79" ht="13.55" customHeight="1">
      <c r="A79" s="28"/>
      <c r="B79" s="25">
        <v>3</v>
      </c>
      <c r="C79" s="28"/>
      <c r="D79" s="28"/>
      <c r="E79" s="28"/>
      <c r="F79" s="28"/>
      <c r="G79" s="28"/>
      <c r="H79" s="28"/>
    </row>
    <row r="80" ht="13.55" customHeight="1">
      <c r="A80" s="28"/>
      <c r="B80" s="25">
        <v>3</v>
      </c>
      <c r="C80" s="28"/>
      <c r="D80" s="28"/>
      <c r="E80" s="28"/>
      <c r="F80" s="28"/>
      <c r="G80" s="28"/>
      <c r="H80" s="28"/>
    </row>
    <row r="81" ht="13.55" customHeight="1">
      <c r="A81" s="28"/>
      <c r="B81" s="25">
        <v>3</v>
      </c>
      <c r="C81" s="28"/>
      <c r="D81" s="28"/>
      <c r="E81" s="28"/>
      <c r="F81" s="28"/>
      <c r="G81" s="28"/>
      <c r="H81" s="28"/>
    </row>
    <row r="82" ht="13.55" customHeight="1">
      <c r="A82" s="28"/>
      <c r="B82" s="25">
        <v>3</v>
      </c>
      <c r="C82" s="28"/>
      <c r="D82" s="28"/>
      <c r="E82" s="28"/>
      <c r="F82" s="28"/>
      <c r="G82" s="28"/>
      <c r="H82" s="28"/>
    </row>
    <row r="83" ht="13.55" customHeight="1">
      <c r="A83" s="28"/>
      <c r="B83" s="25">
        <v>3</v>
      </c>
      <c r="C83" s="28"/>
      <c r="D83" s="28"/>
      <c r="E83" s="28"/>
      <c r="F83" s="28"/>
      <c r="G83" s="28"/>
      <c r="H83" s="28"/>
    </row>
    <row r="84" ht="13.55" customHeight="1">
      <c r="A84" s="28"/>
      <c r="B84" s="25">
        <v>3</v>
      </c>
      <c r="C84" s="28"/>
      <c r="D84" s="28"/>
      <c r="E84" s="28"/>
      <c r="F84" s="28"/>
      <c r="G84" s="28"/>
      <c r="H84" s="28"/>
    </row>
    <row r="85" ht="13.55" customHeight="1">
      <c r="A85" s="28"/>
      <c r="B85" s="25">
        <v>3</v>
      </c>
      <c r="C85" s="28"/>
      <c r="D85" s="28"/>
      <c r="E85" s="28"/>
      <c r="F85" s="28"/>
      <c r="G85" s="28"/>
      <c r="H85" s="28"/>
    </row>
    <row r="86" ht="13.55" customHeight="1">
      <c r="A86" s="28"/>
      <c r="B86" s="25">
        <v>3</v>
      </c>
      <c r="C86" s="28"/>
      <c r="D86" s="28"/>
      <c r="E86" s="28"/>
      <c r="F86" s="28"/>
      <c r="G86" s="28"/>
      <c r="H86" s="28"/>
    </row>
    <row r="87" ht="13.55" customHeight="1">
      <c r="A87" s="28"/>
      <c r="B87" s="25">
        <v>3</v>
      </c>
      <c r="C87" s="28"/>
      <c r="D87" s="28"/>
      <c r="E87" s="28"/>
      <c r="F87" s="28"/>
      <c r="G87" s="28"/>
      <c r="H87" s="28"/>
    </row>
    <row r="88" ht="13.55" customHeight="1">
      <c r="A88" s="28"/>
      <c r="B88" s="25">
        <v>3</v>
      </c>
      <c r="C88" s="28"/>
      <c r="D88" s="28"/>
      <c r="E88" s="28"/>
      <c r="F88" s="28"/>
      <c r="G88" s="28"/>
      <c r="H88" s="28"/>
    </row>
    <row r="89" ht="13.55" customHeight="1">
      <c r="A89" s="28"/>
      <c r="B89" s="25">
        <v>3</v>
      </c>
      <c r="C89" s="28"/>
      <c r="D89" s="28"/>
      <c r="E89" s="28"/>
      <c r="F89" s="28"/>
      <c r="G89" s="28"/>
      <c r="H89" s="28"/>
    </row>
    <row r="90" ht="13.55" customHeight="1">
      <c r="A90" s="28"/>
      <c r="B90" s="25">
        <v>3</v>
      </c>
      <c r="C90" s="28"/>
      <c r="D90" s="28"/>
      <c r="E90" s="28"/>
      <c r="F90" s="28"/>
      <c r="G90" s="28"/>
      <c r="H90" s="28"/>
    </row>
    <row r="91" ht="13.55" customHeight="1">
      <c r="A91" s="28"/>
      <c r="B91" s="25">
        <v>3</v>
      </c>
      <c r="C91" s="28"/>
      <c r="D91" s="28"/>
      <c r="E91" s="28"/>
      <c r="F91" s="28"/>
      <c r="G91" s="28"/>
      <c r="H91" s="28"/>
    </row>
    <row r="92" ht="13.55" customHeight="1">
      <c r="A92" s="28"/>
      <c r="B92" s="25">
        <v>3</v>
      </c>
      <c r="C92" s="28"/>
      <c r="D92" s="28"/>
      <c r="E92" s="28"/>
      <c r="F92" s="28"/>
      <c r="G92" s="28"/>
      <c r="H92" s="28"/>
    </row>
    <row r="93" ht="13.55" customHeight="1">
      <c r="A93" s="28"/>
      <c r="B93" s="25">
        <v>3</v>
      </c>
      <c r="C93" s="28"/>
      <c r="D93" s="28"/>
      <c r="E93" s="28"/>
      <c r="F93" s="28"/>
      <c r="G93" s="28"/>
      <c r="H93" s="28"/>
    </row>
    <row r="94" ht="13.55" customHeight="1">
      <c r="A94" s="28"/>
      <c r="B94" s="25">
        <v>3</v>
      </c>
      <c r="C94" s="28"/>
      <c r="D94" s="28"/>
      <c r="E94" s="28"/>
      <c r="F94" s="28"/>
      <c r="G94" s="28"/>
      <c r="H94" s="28"/>
    </row>
    <row r="95" ht="13.55" customHeight="1">
      <c r="A95" s="28"/>
      <c r="B95" s="25">
        <v>3</v>
      </c>
      <c r="C95" s="28"/>
      <c r="D95" s="28"/>
      <c r="E95" s="28"/>
      <c r="F95" s="28"/>
      <c r="G95" s="28"/>
      <c r="H95" s="28"/>
    </row>
    <row r="96" ht="13.55" customHeight="1">
      <c r="A96" s="28"/>
      <c r="B96" s="25">
        <v>3</v>
      </c>
      <c r="C96" s="28"/>
      <c r="D96" s="28"/>
      <c r="E96" s="28"/>
      <c r="F96" s="28"/>
      <c r="G96" s="28"/>
      <c r="H96" s="28"/>
    </row>
    <row r="97" ht="13.55" customHeight="1">
      <c r="A97" s="28"/>
      <c r="B97" s="25">
        <v>3</v>
      </c>
      <c r="C97" s="28"/>
      <c r="D97" s="28"/>
      <c r="E97" s="28"/>
      <c r="F97" s="28"/>
      <c r="G97" s="28"/>
      <c r="H97" s="28"/>
    </row>
    <row r="98" ht="13.55" customHeight="1">
      <c r="A98" s="28"/>
      <c r="B98" s="25">
        <v>3</v>
      </c>
      <c r="C98" s="28"/>
      <c r="D98" s="28"/>
      <c r="E98" s="28"/>
      <c r="F98" s="28"/>
      <c r="G98" s="28"/>
      <c r="H98" s="28"/>
    </row>
    <row r="99" ht="13.55" customHeight="1">
      <c r="A99" s="28"/>
      <c r="B99" s="25">
        <v>3</v>
      </c>
      <c r="C99" s="28"/>
      <c r="D99" s="28"/>
      <c r="E99" s="28"/>
      <c r="F99" s="28"/>
      <c r="G99" s="28"/>
      <c r="H99" s="28"/>
    </row>
    <row r="100" ht="13.55" customHeight="1">
      <c r="A100" s="28"/>
      <c r="B100" s="25">
        <v>3</v>
      </c>
      <c r="C100" s="28"/>
      <c r="D100" s="28"/>
      <c r="E100" s="28"/>
      <c r="F100" s="28"/>
      <c r="G100" s="28"/>
      <c r="H100" s="28"/>
    </row>
    <row r="101" ht="13.55" customHeight="1">
      <c r="A101" s="28"/>
      <c r="B101" s="25">
        <v>3</v>
      </c>
      <c r="C101" s="28"/>
      <c r="D101" s="28"/>
      <c r="E101" s="28"/>
      <c r="F101" s="28"/>
      <c r="G101" s="28"/>
      <c r="H101" s="28"/>
    </row>
    <row r="102" ht="13.55" customHeight="1">
      <c r="A102" s="28"/>
      <c r="B102" s="25">
        <v>3</v>
      </c>
      <c r="C102" s="28"/>
      <c r="D102" s="28"/>
      <c r="E102" s="28"/>
      <c r="F102" s="28"/>
      <c r="G102" s="28"/>
      <c r="H102" s="28"/>
    </row>
    <row r="103" ht="13.55" customHeight="1">
      <c r="A103" s="28"/>
      <c r="B103" s="25">
        <v>3</v>
      </c>
      <c r="C103" s="28"/>
      <c r="D103" s="28"/>
      <c r="E103" s="28"/>
      <c r="F103" s="28"/>
      <c r="G103" s="28"/>
      <c r="H103" s="28"/>
    </row>
    <row r="104" ht="13.55" customHeight="1">
      <c r="A104" s="28"/>
      <c r="B104" s="25">
        <v>3</v>
      </c>
      <c r="C104" s="28"/>
      <c r="D104" s="28"/>
      <c r="E104" s="28"/>
      <c r="F104" s="28"/>
      <c r="G104" s="28"/>
      <c r="H104" s="28"/>
    </row>
    <row r="105" ht="13.55" customHeight="1">
      <c r="A105" s="28"/>
      <c r="B105" s="25">
        <v>3</v>
      </c>
      <c r="C105" s="28"/>
      <c r="D105" s="28"/>
      <c r="E105" s="28"/>
      <c r="F105" s="28"/>
      <c r="G105" s="28"/>
      <c r="H105" s="28"/>
    </row>
    <row r="106" ht="13.55" customHeight="1">
      <c r="A106" s="28"/>
      <c r="B106" s="25">
        <v>3</v>
      </c>
      <c r="C106" s="28"/>
      <c r="D106" s="28"/>
      <c r="E106" s="28"/>
      <c r="F106" s="28"/>
      <c r="G106" s="28"/>
      <c r="H106" s="28"/>
    </row>
    <row r="107" ht="13.55" customHeight="1">
      <c r="A107" s="28"/>
      <c r="B107" s="25">
        <v>3</v>
      </c>
      <c r="C107" s="28"/>
      <c r="D107" s="28"/>
      <c r="E107" s="28"/>
      <c r="F107" s="28"/>
      <c r="G107" s="28"/>
      <c r="H107" s="28"/>
    </row>
    <row r="108" ht="13.55" customHeight="1">
      <c r="A108" s="28"/>
      <c r="B108" s="25">
        <v>3</v>
      </c>
      <c r="C108" s="28"/>
      <c r="D108" s="28"/>
      <c r="E108" s="28"/>
      <c r="F108" s="28"/>
      <c r="G108" s="28"/>
      <c r="H108" s="28"/>
    </row>
    <row r="109" ht="13.55" customHeight="1">
      <c r="A109" s="28"/>
      <c r="B109" s="25">
        <v>3</v>
      </c>
      <c r="C109" s="28"/>
      <c r="D109" s="28"/>
      <c r="E109" s="28"/>
      <c r="F109" s="28"/>
      <c r="G109" s="28"/>
      <c r="H109" s="28"/>
    </row>
    <row r="110" ht="13.55" customHeight="1">
      <c r="A110" s="28"/>
      <c r="B110" s="25">
        <v>3</v>
      </c>
      <c r="C110" s="28"/>
      <c r="D110" s="28"/>
      <c r="E110" s="28"/>
      <c r="F110" s="28"/>
      <c r="G110" s="28"/>
      <c r="H110" s="28"/>
    </row>
    <row r="111" ht="13.55" customHeight="1">
      <c r="A111" s="28"/>
      <c r="B111" s="25">
        <v>3</v>
      </c>
      <c r="C111" s="28"/>
      <c r="D111" s="28"/>
      <c r="E111" s="28"/>
      <c r="F111" s="28"/>
      <c r="G111" s="28"/>
      <c r="H111" s="28"/>
    </row>
    <row r="112" ht="13.55" customHeight="1">
      <c r="A112" s="28"/>
      <c r="B112" s="25">
        <v>3</v>
      </c>
      <c r="C112" s="28"/>
      <c r="D112" s="28"/>
      <c r="E112" s="28"/>
      <c r="F112" s="28"/>
      <c r="G112" s="28"/>
      <c r="H112" s="28"/>
    </row>
    <row r="113" ht="13.55" customHeight="1">
      <c r="A113" s="28"/>
      <c r="B113" s="25">
        <v>3</v>
      </c>
      <c r="C113" s="28"/>
      <c r="D113" s="28"/>
      <c r="E113" s="28"/>
      <c r="F113" s="28"/>
      <c r="G113" s="28"/>
      <c r="H113" s="28"/>
    </row>
    <row r="114" ht="13.55" customHeight="1">
      <c r="A114" s="28"/>
      <c r="B114" s="25">
        <v>3</v>
      </c>
      <c r="C114" s="28"/>
      <c r="D114" s="28"/>
      <c r="E114" s="28"/>
      <c r="F114" s="28"/>
      <c r="G114" s="28"/>
      <c r="H114" s="28"/>
    </row>
    <row r="115" ht="13.55" customHeight="1">
      <c r="A115" s="28"/>
      <c r="B115" s="25">
        <v>3</v>
      </c>
      <c r="C115" s="28"/>
      <c r="D115" s="28"/>
      <c r="E115" s="28"/>
      <c r="F115" s="28"/>
      <c r="G115" s="28"/>
      <c r="H115" s="28"/>
    </row>
    <row r="116" ht="13.55" customHeight="1">
      <c r="A116" s="28"/>
      <c r="B116" s="25">
        <v>3</v>
      </c>
      <c r="C116" s="28"/>
      <c r="D116" s="28"/>
      <c r="E116" s="28"/>
      <c r="F116" s="28"/>
      <c r="G116" s="28"/>
      <c r="H116" s="28"/>
    </row>
    <row r="117" ht="13.55" customHeight="1">
      <c r="A117" s="28"/>
      <c r="B117" s="25">
        <v>3</v>
      </c>
      <c r="C117" s="28"/>
      <c r="D117" s="28"/>
      <c r="E117" s="28"/>
      <c r="F117" s="28"/>
      <c r="G117" s="28"/>
      <c r="H117" s="28"/>
    </row>
    <row r="118" ht="13.55" customHeight="1">
      <c r="A118" s="28"/>
      <c r="B118" s="25">
        <v>3</v>
      </c>
      <c r="C118" s="28"/>
      <c r="D118" s="28"/>
      <c r="E118" s="28"/>
      <c r="F118" s="28"/>
      <c r="G118" s="28"/>
      <c r="H118" s="28"/>
    </row>
    <row r="119" ht="13.55" customHeight="1">
      <c r="A119" s="28"/>
      <c r="B119" s="25">
        <v>3</v>
      </c>
      <c r="C119" s="28"/>
      <c r="D119" s="28"/>
      <c r="E119" s="28"/>
      <c r="F119" s="28"/>
      <c r="G119" s="28"/>
      <c r="H119" s="28"/>
    </row>
    <row r="120" ht="13.55" customHeight="1">
      <c r="A120" s="28"/>
      <c r="B120" s="25">
        <v>3</v>
      </c>
      <c r="C120" s="28"/>
      <c r="D120" s="28"/>
      <c r="E120" s="28"/>
      <c r="F120" s="28"/>
      <c r="G120" s="28"/>
      <c r="H120" s="28"/>
    </row>
    <row r="121" ht="13.55" customHeight="1">
      <c r="A121" s="28"/>
      <c r="B121" s="25">
        <v>3</v>
      </c>
      <c r="C121" s="28"/>
      <c r="D121" s="28"/>
      <c r="E121" s="28"/>
      <c r="F121" s="28"/>
      <c r="G121" s="28"/>
      <c r="H121" s="28"/>
    </row>
    <row r="122" ht="13.55" customHeight="1">
      <c r="A122" s="28"/>
      <c r="B122" s="25">
        <v>3</v>
      </c>
      <c r="C122" s="28"/>
      <c r="D122" s="28"/>
      <c r="E122" s="28"/>
      <c r="F122" s="28"/>
      <c r="G122" s="28"/>
      <c r="H122" s="28"/>
    </row>
    <row r="123" ht="13.55" customHeight="1">
      <c r="A123" s="28"/>
      <c r="B123" s="25">
        <v>3</v>
      </c>
      <c r="C123" s="28"/>
      <c r="D123" s="28"/>
      <c r="E123" s="28"/>
      <c r="F123" s="28"/>
      <c r="G123" s="28"/>
      <c r="H123" s="28"/>
    </row>
    <row r="124" ht="13.55" customHeight="1">
      <c r="A124" s="28"/>
      <c r="B124" s="25">
        <v>3</v>
      </c>
      <c r="C124" s="28"/>
      <c r="D124" s="28"/>
      <c r="E124" s="28"/>
      <c r="F124" s="28"/>
      <c r="G124" s="28"/>
      <c r="H124" s="28"/>
    </row>
    <row r="125" ht="13.55" customHeight="1">
      <c r="A125" s="28"/>
      <c r="B125" s="25">
        <v>3</v>
      </c>
      <c r="C125" s="28"/>
      <c r="D125" s="28"/>
      <c r="E125" s="28"/>
      <c r="F125" s="28"/>
      <c r="G125" s="28"/>
      <c r="H125" s="28"/>
    </row>
    <row r="126" ht="13.55" customHeight="1">
      <c r="A126" s="28"/>
      <c r="B126" s="25">
        <v>3</v>
      </c>
      <c r="C126" s="28"/>
      <c r="D126" s="28"/>
      <c r="E126" s="28"/>
      <c r="F126" s="28"/>
      <c r="G126" s="28"/>
      <c r="H126" s="28"/>
    </row>
    <row r="127" ht="13.55" customHeight="1">
      <c r="A127" s="28"/>
      <c r="B127" s="25">
        <v>3</v>
      </c>
      <c r="C127" s="28"/>
      <c r="D127" s="28"/>
      <c r="E127" s="28"/>
      <c r="F127" s="28"/>
      <c r="G127" s="28"/>
      <c r="H127" s="28"/>
    </row>
    <row r="128" ht="13.55" customHeight="1">
      <c r="A128" s="28"/>
      <c r="B128" s="25">
        <v>3</v>
      </c>
      <c r="C128" s="28"/>
      <c r="D128" s="28"/>
      <c r="E128" s="28"/>
      <c r="F128" s="28"/>
      <c r="G128" s="28"/>
      <c r="H128" s="28"/>
    </row>
    <row r="129" ht="13.55" customHeight="1">
      <c r="A129" s="28"/>
      <c r="B129" s="25">
        <v>3</v>
      </c>
      <c r="C129" s="28"/>
      <c r="D129" s="28"/>
      <c r="E129" s="28"/>
      <c r="F129" s="28"/>
      <c r="G129" s="28"/>
      <c r="H129" s="28"/>
    </row>
    <row r="130" ht="13.55" customHeight="1">
      <c r="A130" s="28"/>
      <c r="B130" s="25">
        <v>3</v>
      </c>
      <c r="C130" s="28"/>
      <c r="D130" s="28"/>
      <c r="E130" s="28"/>
      <c r="F130" s="28"/>
      <c r="G130" s="28"/>
      <c r="H130" s="28"/>
    </row>
    <row r="131" ht="13.55" customHeight="1">
      <c r="A131" s="28"/>
      <c r="B131" s="25">
        <v>3</v>
      </c>
      <c r="C131" s="28"/>
      <c r="D131" s="28"/>
      <c r="E131" s="28"/>
      <c r="F131" s="28"/>
      <c r="G131" s="28"/>
      <c r="H131" s="28"/>
    </row>
    <row r="132" ht="13.55" customHeight="1">
      <c r="A132" s="28"/>
      <c r="B132" s="25">
        <v>3</v>
      </c>
      <c r="C132" s="28"/>
      <c r="D132" s="28"/>
      <c r="E132" s="28"/>
      <c r="F132" s="28"/>
      <c r="G132" s="28"/>
      <c r="H132" s="28"/>
    </row>
    <row r="133" ht="13.55" customHeight="1">
      <c r="A133" s="28"/>
      <c r="B133" s="25">
        <v>3</v>
      </c>
      <c r="C133" s="28"/>
      <c r="D133" s="28"/>
      <c r="E133" s="28"/>
      <c r="F133" s="28"/>
      <c r="G133" s="28"/>
      <c r="H133" s="28"/>
    </row>
    <row r="134" ht="13.55" customHeight="1">
      <c r="A134" s="28"/>
      <c r="B134" s="25">
        <v>3</v>
      </c>
      <c r="C134" s="28"/>
      <c r="D134" s="28"/>
      <c r="E134" s="28"/>
      <c r="F134" s="28"/>
      <c r="G134" s="28"/>
      <c r="H134" s="28"/>
    </row>
    <row r="135" ht="13.55" customHeight="1">
      <c r="A135" s="28"/>
      <c r="B135" s="25">
        <v>3</v>
      </c>
      <c r="C135" s="28"/>
      <c r="D135" s="28"/>
      <c r="E135" s="28"/>
      <c r="F135" s="28"/>
      <c r="G135" s="28"/>
      <c r="H135" s="28"/>
    </row>
    <row r="136" ht="13.55" customHeight="1">
      <c r="A136" s="28"/>
      <c r="B136" s="25">
        <v>3</v>
      </c>
      <c r="C136" s="28"/>
      <c r="D136" s="28"/>
      <c r="E136" s="28"/>
      <c r="F136" s="28"/>
      <c r="G136" s="28"/>
      <c r="H136" s="28"/>
    </row>
    <row r="137" ht="13.55" customHeight="1">
      <c r="A137" s="28"/>
      <c r="B137" s="25">
        <v>3</v>
      </c>
      <c r="C137" s="28"/>
      <c r="D137" s="28"/>
      <c r="E137" s="28"/>
      <c r="F137" s="28"/>
      <c r="G137" s="28"/>
      <c r="H137" s="28"/>
    </row>
    <row r="138" ht="13.55" customHeight="1">
      <c r="A138" s="28"/>
      <c r="B138" s="25">
        <v>3</v>
      </c>
      <c r="C138" s="28"/>
      <c r="D138" s="28"/>
      <c r="E138" s="28"/>
      <c r="F138" s="28"/>
      <c r="G138" s="28"/>
      <c r="H138" s="28"/>
    </row>
    <row r="139" ht="13.55" customHeight="1">
      <c r="A139" s="28"/>
      <c r="B139" s="25">
        <v>3</v>
      </c>
      <c r="C139" s="28"/>
      <c r="D139" s="28"/>
      <c r="E139" s="28"/>
      <c r="F139" s="28"/>
      <c r="G139" s="28"/>
      <c r="H139" s="28"/>
    </row>
    <row r="140" ht="13.55" customHeight="1">
      <c r="A140" s="28"/>
      <c r="B140" s="25">
        <v>2</v>
      </c>
      <c r="C140" s="28"/>
      <c r="D140" s="28"/>
      <c r="E140" s="28"/>
      <c r="F140" s="28"/>
      <c r="G140" s="28"/>
      <c r="H140" s="28"/>
    </row>
    <row r="141" ht="13.55" customHeight="1">
      <c r="A141" s="28"/>
      <c r="B141" s="25">
        <v>2</v>
      </c>
      <c r="C141" s="28"/>
      <c r="D141" s="28"/>
      <c r="E141" s="28"/>
      <c r="F141" s="28"/>
      <c r="G141" s="28"/>
      <c r="H141" s="28"/>
    </row>
    <row r="142" ht="13.55" customHeight="1">
      <c r="A142" s="28"/>
      <c r="B142" s="25">
        <v>2</v>
      </c>
      <c r="C142" s="28"/>
      <c r="D142" s="28"/>
      <c r="E142" s="28"/>
      <c r="F142" s="28"/>
      <c r="G142" s="28"/>
      <c r="H142" s="28"/>
    </row>
    <row r="143" ht="13.55" customHeight="1">
      <c r="A143" s="28"/>
      <c r="B143" s="25">
        <v>2</v>
      </c>
      <c r="C143" s="28"/>
      <c r="D143" s="28"/>
      <c r="E143" s="28"/>
      <c r="F143" s="28"/>
      <c r="G143" s="28"/>
      <c r="H143" s="28"/>
    </row>
    <row r="144" ht="13.55" customHeight="1">
      <c r="A144" s="28"/>
      <c r="B144" s="25">
        <v>2</v>
      </c>
      <c r="C144" s="28"/>
      <c r="D144" s="28"/>
      <c r="E144" s="28"/>
      <c r="F144" s="28"/>
      <c r="G144" s="28"/>
      <c r="H144" s="28"/>
    </row>
    <row r="145" ht="13.55" customHeight="1">
      <c r="A145" s="28"/>
      <c r="B145" s="25">
        <v>2</v>
      </c>
      <c r="C145" s="28"/>
      <c r="D145" s="28"/>
      <c r="E145" s="28"/>
      <c r="F145" s="28"/>
      <c r="G145" s="28"/>
      <c r="H145" s="28"/>
    </row>
    <row r="146" ht="13.55" customHeight="1">
      <c r="A146" s="28"/>
      <c r="B146" s="25">
        <v>2</v>
      </c>
      <c r="C146" s="28"/>
      <c r="D146" s="28"/>
      <c r="E146" s="28"/>
      <c r="F146" s="28"/>
      <c r="G146" s="28"/>
      <c r="H146" s="28"/>
    </row>
    <row r="147" ht="13.55" customHeight="1">
      <c r="A147" s="28"/>
      <c r="B147" s="25">
        <v>2</v>
      </c>
      <c r="C147" s="28"/>
      <c r="D147" s="28"/>
      <c r="E147" s="28"/>
      <c r="F147" s="28"/>
      <c r="G147" s="28"/>
      <c r="H147" s="28"/>
    </row>
    <row r="148" ht="13.55" customHeight="1">
      <c r="A148" s="28"/>
      <c r="B148" s="25">
        <v>2</v>
      </c>
      <c r="C148" s="28"/>
      <c r="D148" s="28"/>
      <c r="E148" s="28"/>
      <c r="F148" s="28"/>
      <c r="G148" s="28"/>
      <c r="H148" s="28"/>
    </row>
    <row r="149" ht="13.55" customHeight="1">
      <c r="A149" s="28"/>
      <c r="B149" s="25">
        <v>2</v>
      </c>
      <c r="C149" s="28"/>
      <c r="D149" s="28"/>
      <c r="E149" s="28"/>
      <c r="F149" s="28"/>
      <c r="G149" s="28"/>
      <c r="H149" s="28"/>
    </row>
    <row r="150" ht="13.55" customHeight="1">
      <c r="A150" s="28"/>
      <c r="B150" s="25">
        <v>2</v>
      </c>
      <c r="C150" s="28"/>
      <c r="D150" s="28"/>
      <c r="E150" s="28"/>
      <c r="F150" s="28"/>
      <c r="G150" s="28"/>
      <c r="H150" s="28"/>
    </row>
    <row r="151" ht="13.55" customHeight="1">
      <c r="A151" s="28"/>
      <c r="B151" s="25">
        <v>2</v>
      </c>
      <c r="C151" s="28"/>
      <c r="D151" s="28"/>
      <c r="E151" s="28"/>
      <c r="F151" s="28"/>
      <c r="G151" s="28"/>
      <c r="H151" s="28"/>
    </row>
    <row r="152" ht="13.55" customHeight="1">
      <c r="A152" s="28"/>
      <c r="B152" s="25">
        <v>2</v>
      </c>
      <c r="C152" s="28"/>
      <c r="D152" s="28"/>
      <c r="E152" s="28"/>
      <c r="F152" s="28"/>
      <c r="G152" s="28"/>
      <c r="H152" s="28"/>
    </row>
    <row r="153" ht="13.55" customHeight="1">
      <c r="A153" s="28"/>
      <c r="B153" s="25">
        <v>2</v>
      </c>
      <c r="C153" s="28"/>
      <c r="D153" s="28"/>
      <c r="E153" s="28"/>
      <c r="F153" s="28"/>
      <c r="G153" s="28"/>
      <c r="H153" s="28"/>
    </row>
    <row r="154" ht="13.55" customHeight="1">
      <c r="A154" s="28"/>
      <c r="B154" s="25">
        <v>2</v>
      </c>
      <c r="C154" s="28"/>
      <c r="D154" s="28"/>
      <c r="E154" s="28"/>
      <c r="F154" s="28"/>
      <c r="G154" s="28"/>
      <c r="H154" s="28"/>
    </row>
    <row r="155" ht="13.55" customHeight="1">
      <c r="A155" s="28"/>
      <c r="B155" s="25">
        <v>2</v>
      </c>
      <c r="C155" s="28"/>
      <c r="D155" s="28"/>
      <c r="E155" s="28"/>
      <c r="F155" s="28"/>
      <c r="G155" s="28"/>
      <c r="H155" s="28"/>
    </row>
    <row r="156" ht="13.55" customHeight="1">
      <c r="A156" s="28"/>
      <c r="B156" s="25">
        <v>2</v>
      </c>
      <c r="C156" s="28"/>
      <c r="D156" s="28"/>
      <c r="E156" s="28"/>
      <c r="F156" s="28"/>
      <c r="G156" s="28"/>
      <c r="H156" s="28"/>
    </row>
    <row r="157" ht="13.55" customHeight="1">
      <c r="A157" s="28"/>
      <c r="B157" s="25">
        <v>2</v>
      </c>
      <c r="C157" s="28"/>
      <c r="D157" s="28"/>
      <c r="E157" s="28"/>
      <c r="F157" s="28"/>
      <c r="G157" s="28"/>
      <c r="H157" s="28"/>
    </row>
    <row r="158" ht="13.55" customHeight="1">
      <c r="A158" s="28"/>
      <c r="B158" s="25">
        <v>2</v>
      </c>
      <c r="C158" s="28"/>
      <c r="D158" s="28"/>
      <c r="E158" s="28"/>
      <c r="F158" s="28"/>
      <c r="G158" s="28"/>
      <c r="H158" s="28"/>
    </row>
    <row r="159" ht="13.55" customHeight="1">
      <c r="A159" s="28"/>
      <c r="B159" s="25">
        <v>2</v>
      </c>
      <c r="C159" s="28"/>
      <c r="D159" s="28"/>
      <c r="E159" s="28"/>
      <c r="F159" s="28"/>
      <c r="G159" s="28"/>
      <c r="H159" s="28"/>
    </row>
    <row r="160" ht="13.55" customHeight="1">
      <c r="A160" s="28"/>
      <c r="B160" s="25">
        <v>2</v>
      </c>
      <c r="C160" s="28"/>
      <c r="D160" s="28"/>
      <c r="E160" s="28"/>
      <c r="F160" s="28"/>
      <c r="G160" s="28"/>
      <c r="H160" s="28"/>
    </row>
    <row r="161" ht="13.55" customHeight="1">
      <c r="A161" s="28"/>
      <c r="B161" s="25">
        <v>2</v>
      </c>
      <c r="C161" s="28"/>
      <c r="D161" s="28"/>
      <c r="E161" s="28"/>
      <c r="F161" s="28"/>
      <c r="G161" s="28"/>
      <c r="H161" s="28"/>
    </row>
    <row r="162" ht="13.55" customHeight="1">
      <c r="A162" s="28"/>
      <c r="B162" s="25">
        <v>2</v>
      </c>
      <c r="C162" s="28"/>
      <c r="D162" s="28"/>
      <c r="E162" s="28"/>
      <c r="F162" s="28"/>
      <c r="G162" s="28"/>
      <c r="H162" s="28"/>
    </row>
    <row r="163" ht="13.55" customHeight="1">
      <c r="A163" s="28"/>
      <c r="B163" s="25">
        <v>2</v>
      </c>
      <c r="C163" s="28"/>
      <c r="D163" s="28"/>
      <c r="E163" s="28"/>
      <c r="F163" s="28"/>
      <c r="G163" s="28"/>
      <c r="H163" s="28"/>
    </row>
    <row r="164" ht="13.55" customHeight="1">
      <c r="A164" s="28"/>
      <c r="B164" s="25">
        <v>2</v>
      </c>
      <c r="C164" s="28"/>
      <c r="D164" s="28"/>
      <c r="E164" s="28"/>
      <c r="F164" s="28"/>
      <c r="G164" s="28"/>
      <c r="H164" s="28"/>
    </row>
    <row r="165" ht="13.55" customHeight="1">
      <c r="A165" s="28"/>
      <c r="B165" s="25">
        <v>2</v>
      </c>
      <c r="C165" s="28"/>
      <c r="D165" s="28"/>
      <c r="E165" s="28"/>
      <c r="F165" s="28"/>
      <c r="G165" s="28"/>
      <c r="H165" s="28"/>
    </row>
    <row r="166" ht="13.55" customHeight="1">
      <c r="A166" s="28"/>
      <c r="B166" s="25">
        <v>2</v>
      </c>
      <c r="C166" s="28"/>
      <c r="D166" s="28"/>
      <c r="E166" s="28"/>
      <c r="F166" s="28"/>
      <c r="G166" s="28"/>
      <c r="H166" s="28"/>
    </row>
    <row r="167" ht="13.55" customHeight="1">
      <c r="A167" s="28"/>
      <c r="B167" s="25">
        <v>2</v>
      </c>
      <c r="C167" s="28"/>
      <c r="D167" s="28"/>
      <c r="E167" s="28"/>
      <c r="F167" s="28"/>
      <c r="G167" s="28"/>
      <c r="H167" s="28"/>
    </row>
    <row r="168" ht="13.55" customHeight="1">
      <c r="A168" s="28"/>
      <c r="B168" s="25">
        <v>2</v>
      </c>
      <c r="C168" s="28"/>
      <c r="D168" s="28"/>
      <c r="E168" s="28"/>
      <c r="F168" s="28"/>
      <c r="G168" s="28"/>
      <c r="H168" s="28"/>
    </row>
    <row r="169" ht="13.55" customHeight="1">
      <c r="A169" s="28"/>
      <c r="B169" s="25">
        <v>2</v>
      </c>
      <c r="C169" s="28"/>
      <c r="D169" s="28"/>
      <c r="E169" s="28"/>
      <c r="F169" s="28"/>
      <c r="G169" s="28"/>
      <c r="H169" s="28"/>
    </row>
    <row r="170" ht="13.55" customHeight="1">
      <c r="A170" s="28"/>
      <c r="B170" s="25">
        <v>2</v>
      </c>
      <c r="C170" s="28"/>
      <c r="D170" s="28"/>
      <c r="E170" s="28"/>
      <c r="F170" s="28"/>
      <c r="G170" s="28"/>
      <c r="H170" s="28"/>
    </row>
    <row r="171" ht="13.55" customHeight="1">
      <c r="A171" s="28"/>
      <c r="B171" s="25">
        <v>2</v>
      </c>
      <c r="C171" s="28"/>
      <c r="D171" s="28"/>
      <c r="E171" s="28"/>
      <c r="F171" s="28"/>
      <c r="G171" s="28"/>
      <c r="H171" s="28"/>
    </row>
    <row r="172" ht="13.55" customHeight="1">
      <c r="A172" s="28"/>
      <c r="B172" s="25">
        <v>2</v>
      </c>
      <c r="C172" s="28"/>
      <c r="D172" s="28"/>
      <c r="E172" s="28"/>
      <c r="F172" s="28"/>
      <c r="G172" s="28"/>
      <c r="H172" s="28"/>
    </row>
    <row r="173" ht="13.55" customHeight="1">
      <c r="A173" s="28"/>
      <c r="B173" s="25">
        <v>2</v>
      </c>
      <c r="C173" s="28"/>
      <c r="D173" s="28"/>
      <c r="E173" s="28"/>
      <c r="F173" s="28"/>
      <c r="G173" s="28"/>
      <c r="H173" s="28"/>
    </row>
    <row r="174" ht="13.55" customHeight="1">
      <c r="A174" s="28"/>
      <c r="B174" s="25">
        <v>2</v>
      </c>
      <c r="C174" s="28"/>
      <c r="D174" s="28"/>
      <c r="E174" s="28"/>
      <c r="F174" s="28"/>
      <c r="G174" s="28"/>
      <c r="H174" s="28"/>
    </row>
    <row r="175" ht="13.55" customHeight="1">
      <c r="A175" s="28"/>
      <c r="B175" s="25">
        <v>2</v>
      </c>
      <c r="C175" s="28"/>
      <c r="D175" s="28"/>
      <c r="E175" s="28"/>
      <c r="F175" s="28"/>
      <c r="G175" s="28"/>
      <c r="H175" s="28"/>
    </row>
    <row r="176" ht="13.55" customHeight="1">
      <c r="A176" s="28"/>
      <c r="B176" s="25">
        <v>1</v>
      </c>
      <c r="C176" s="28"/>
      <c r="D176" s="28"/>
      <c r="E176" s="28"/>
      <c r="F176" s="28"/>
      <c r="G176" s="28"/>
      <c r="H176" s="28"/>
    </row>
    <row r="177" ht="13.55" customHeight="1">
      <c r="A177" s="28"/>
      <c r="B177" s="25">
        <v>1</v>
      </c>
      <c r="C177" s="28"/>
      <c r="D177" s="28"/>
      <c r="E177" s="28"/>
      <c r="F177" s="28"/>
      <c r="G177" s="28"/>
      <c r="H177" s="28"/>
    </row>
    <row r="178" ht="13.55" customHeight="1">
      <c r="A178" s="28"/>
      <c r="B178" s="25">
        <v>1</v>
      </c>
      <c r="C178" s="28"/>
      <c r="D178" s="28"/>
      <c r="E178" s="28"/>
      <c r="F178" s="28"/>
      <c r="G178" s="28"/>
      <c r="H178" s="28"/>
    </row>
    <row r="179" ht="13.55" customHeight="1">
      <c r="A179" s="28"/>
      <c r="B179" s="25">
        <v>1</v>
      </c>
      <c r="C179" s="28"/>
      <c r="D179" s="28"/>
      <c r="E179" s="28"/>
      <c r="F179" s="28"/>
      <c r="G179" s="28"/>
      <c r="H179" s="28"/>
    </row>
    <row r="180" ht="13.55" customHeight="1">
      <c r="A180" s="28"/>
      <c r="B180" s="25">
        <v>1</v>
      </c>
      <c r="C180" s="28"/>
      <c r="D180" s="28"/>
      <c r="E180" s="28"/>
      <c r="F180" s="28"/>
      <c r="G180" s="28"/>
      <c r="H180" s="28"/>
    </row>
    <row r="181" ht="13.55" customHeight="1">
      <c r="A181" s="28"/>
      <c r="B181" s="25">
        <v>1</v>
      </c>
      <c r="C181" s="28"/>
      <c r="D181" s="28"/>
      <c r="E181" s="28"/>
      <c r="F181" s="28"/>
      <c r="G181" s="28"/>
      <c r="H181" s="28"/>
    </row>
    <row r="182" ht="13.55" customHeight="1">
      <c r="A182" s="28"/>
      <c r="B182" s="25">
        <v>1</v>
      </c>
      <c r="C182" s="28"/>
      <c r="D182" s="28"/>
      <c r="E182" s="28"/>
      <c r="F182" s="28"/>
      <c r="G182" s="28"/>
      <c r="H182" s="28"/>
    </row>
    <row r="183" ht="13.55" customHeight="1">
      <c r="A183" s="28"/>
      <c r="B183" s="25">
        <v>1</v>
      </c>
      <c r="C183" s="28"/>
      <c r="D183" s="28"/>
      <c r="E183" s="28"/>
      <c r="F183" s="28"/>
      <c r="G183" s="28"/>
      <c r="H183" s="28"/>
    </row>
    <row r="184" ht="13.55" customHeight="1">
      <c r="A184" s="28"/>
      <c r="B184" s="25">
        <v>1</v>
      </c>
      <c r="C184" s="28"/>
      <c r="D184" s="28"/>
      <c r="E184" s="28"/>
      <c r="F184" s="28"/>
      <c r="G184" s="28"/>
      <c r="H184" s="28"/>
    </row>
    <row r="185" ht="13.55" customHeight="1">
      <c r="A185" s="28"/>
      <c r="B185" s="25">
        <v>1</v>
      </c>
      <c r="C185" s="28"/>
      <c r="D185" s="28"/>
      <c r="E185" s="28"/>
      <c r="F185" s="28"/>
      <c r="G185" s="28"/>
      <c r="H185" s="28"/>
    </row>
    <row r="186" ht="13.55" customHeight="1">
      <c r="A186" s="28"/>
      <c r="B186" s="25">
        <v>1</v>
      </c>
      <c r="C186" s="28"/>
      <c r="D186" s="28"/>
      <c r="E186" s="28"/>
      <c r="F186" s="28"/>
      <c r="G186" s="28"/>
      <c r="H186" s="28"/>
    </row>
    <row r="187" ht="13.55" customHeight="1">
      <c r="A187" s="28"/>
      <c r="B187" s="25">
        <v>1</v>
      </c>
      <c r="C187" s="28"/>
      <c r="D187" s="28"/>
      <c r="E187" s="28"/>
      <c r="F187" s="28"/>
      <c r="G187" s="28"/>
      <c r="H187" s="28"/>
    </row>
    <row r="188" ht="13.55" customHeight="1">
      <c r="A188" s="28"/>
      <c r="B188" s="25">
        <v>1</v>
      </c>
      <c r="C188" s="28"/>
      <c r="D188" s="28"/>
      <c r="E188" s="28"/>
      <c r="F188" s="28"/>
      <c r="G188" s="28"/>
      <c r="H188" s="28"/>
    </row>
    <row r="189" ht="13.55" customHeight="1">
      <c r="A189" s="28"/>
      <c r="B189" s="25">
        <v>1</v>
      </c>
      <c r="C189" s="28"/>
      <c r="D189" s="28"/>
      <c r="E189" s="28"/>
      <c r="F189" s="28"/>
      <c r="G189" s="28"/>
      <c r="H189" s="28"/>
    </row>
    <row r="190" ht="13.55" customHeight="1">
      <c r="A190" s="28"/>
      <c r="B190" s="25">
        <v>1</v>
      </c>
      <c r="C190" s="28"/>
      <c r="D190" s="28"/>
      <c r="E190" s="28"/>
      <c r="F190" s="28"/>
      <c r="G190" s="28"/>
      <c r="H190" s="28"/>
    </row>
    <row r="191" ht="13.55" customHeight="1">
      <c r="A191" s="28"/>
      <c r="B191" s="25">
        <v>1</v>
      </c>
      <c r="C191" s="28"/>
      <c r="D191" s="28"/>
      <c r="E191" s="28"/>
      <c r="F191" s="28"/>
      <c r="G191" s="28"/>
      <c r="H191" s="28"/>
    </row>
    <row r="192" ht="13.55" customHeight="1">
      <c r="A192" s="28"/>
      <c r="B192" s="25">
        <v>1</v>
      </c>
      <c r="C192" s="28"/>
      <c r="D192" s="28"/>
      <c r="E192" s="28"/>
      <c r="F192" s="28"/>
      <c r="G192" s="28"/>
      <c r="H192" s="28"/>
    </row>
    <row r="193" ht="13.55" customHeight="1">
      <c r="A193" s="28"/>
      <c r="B193" s="25">
        <v>1</v>
      </c>
      <c r="C193" s="28"/>
      <c r="D193" s="28"/>
      <c r="E193" s="28"/>
      <c r="F193" s="28"/>
      <c r="G193" s="28"/>
      <c r="H193" s="28"/>
    </row>
    <row r="194" ht="13.55" customHeight="1">
      <c r="A194" s="28"/>
      <c r="B194" s="25">
        <v>1</v>
      </c>
      <c r="C194" s="28"/>
      <c r="D194" s="28"/>
      <c r="E194" s="28"/>
      <c r="F194" s="28"/>
      <c r="G194" s="28"/>
      <c r="H194" s="28"/>
    </row>
    <row r="195" ht="13.55" customHeight="1">
      <c r="A195" s="28"/>
      <c r="B195" s="25">
        <v>1</v>
      </c>
      <c r="C195" s="28"/>
      <c r="D195" s="28"/>
      <c r="E195" s="28"/>
      <c r="F195" s="28"/>
      <c r="G195" s="28"/>
      <c r="H195" s="28"/>
    </row>
    <row r="196" ht="13.55" customHeight="1">
      <c r="A196" s="28"/>
      <c r="B196" s="25">
        <v>1</v>
      </c>
      <c r="C196" s="28"/>
      <c r="D196" s="28"/>
      <c r="E196" s="28"/>
      <c r="F196" s="28"/>
      <c r="G196" s="28"/>
      <c r="H196" s="28"/>
    </row>
    <row r="197" ht="13.55" customHeight="1">
      <c r="A197" s="28"/>
      <c r="B197" s="25">
        <v>1</v>
      </c>
      <c r="C197" s="28"/>
      <c r="D197" s="28"/>
      <c r="E197" s="28"/>
      <c r="F197" s="28"/>
      <c r="G197" s="28"/>
      <c r="H197" s="28"/>
    </row>
    <row r="198" ht="13.55" customHeight="1">
      <c r="A198" s="28"/>
      <c r="B198" s="25">
        <v>1</v>
      </c>
      <c r="C198" s="28"/>
      <c r="D198" s="28"/>
      <c r="E198" s="28"/>
      <c r="F198" s="28"/>
      <c r="G198" s="28"/>
      <c r="H198" s="28"/>
    </row>
    <row r="199" ht="13.55" customHeight="1">
      <c r="A199" s="28"/>
      <c r="B199" s="25">
        <v>1</v>
      </c>
      <c r="C199" s="28"/>
      <c r="D199" s="28"/>
      <c r="E199" s="28"/>
      <c r="F199" s="28"/>
      <c r="G199" s="28"/>
      <c r="H199" s="28"/>
    </row>
    <row r="200" ht="13.55" customHeight="1">
      <c r="A200" s="28"/>
      <c r="B200" s="25">
        <v>1</v>
      </c>
      <c r="C200" s="28"/>
      <c r="D200" s="28"/>
      <c r="E200" s="28"/>
      <c r="F200" s="28"/>
      <c r="G200" s="28"/>
      <c r="H200" s="28"/>
    </row>
    <row r="201" ht="13.55" customHeight="1">
      <c r="A201" s="28"/>
      <c r="B201" s="25">
        <v>1</v>
      </c>
      <c r="C201" s="28"/>
      <c r="D201" s="28"/>
      <c r="E201" s="28"/>
      <c r="F201" s="28"/>
      <c r="G201" s="28"/>
      <c r="H201" s="28"/>
    </row>
    <row r="202" ht="13.55" customHeight="1">
      <c r="A202" s="28"/>
      <c r="B202" s="25">
        <v>1</v>
      </c>
      <c r="C202" s="28"/>
      <c r="D202" s="28"/>
      <c r="E202" s="28"/>
      <c r="F202" s="28"/>
      <c r="G202" s="28"/>
      <c r="H202" s="28"/>
    </row>
    <row r="203" ht="13.55" customHeight="1">
      <c r="A203" s="28"/>
      <c r="B203" s="25">
        <v>1</v>
      </c>
      <c r="C203" s="28"/>
      <c r="D203" s="28"/>
      <c r="E203" s="28"/>
      <c r="F203" s="28"/>
      <c r="G203" s="28"/>
      <c r="H203" s="28"/>
    </row>
    <row r="204" ht="13.55" customHeight="1">
      <c r="A204" s="28"/>
      <c r="B204" s="25">
        <v>1</v>
      </c>
      <c r="C204" s="28"/>
      <c r="D204" s="28"/>
      <c r="E204" s="28"/>
      <c r="F204" s="28"/>
      <c r="G204" s="28"/>
      <c r="H204" s="28"/>
    </row>
    <row r="205" ht="13.55" customHeight="1">
      <c r="A205" s="28"/>
      <c r="B205" s="25">
        <v>1</v>
      </c>
      <c r="C205" s="28"/>
      <c r="D205" s="28"/>
      <c r="E205" s="28"/>
      <c r="F205" s="28"/>
      <c r="G205" s="28"/>
      <c r="H205" s="28"/>
    </row>
    <row r="206" ht="13.55" customHeight="1">
      <c r="A206" s="28"/>
      <c r="B206" s="25">
        <v>1</v>
      </c>
      <c r="C206" s="28"/>
      <c r="D206" s="28"/>
      <c r="E206" s="28"/>
      <c r="F206" s="28"/>
      <c r="G206" s="28"/>
      <c r="H206" s="28"/>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0.8333" defaultRowHeight="14" customHeight="1" outlineLevelRow="0" outlineLevelCol="0"/>
  <cols>
    <col min="1" max="5" width="10.8516" style="48" customWidth="1"/>
    <col min="6" max="16384" width="10.8516" style="48" customWidth="1"/>
  </cols>
  <sheetData>
    <row r="1" ht="13.55" customHeight="1">
      <c r="A1" s="28"/>
      <c r="B1" s="28"/>
      <c r="C1" s="28"/>
      <c r="D1" s="28"/>
      <c r="E1" s="28"/>
    </row>
    <row r="2" ht="13.55" customHeight="1">
      <c r="A2" s="28"/>
      <c r="B2" s="28"/>
      <c r="C2" s="28"/>
      <c r="D2" s="28"/>
      <c r="E2" s="28"/>
    </row>
    <row r="3" ht="13.55" customHeight="1">
      <c r="A3" s="28"/>
      <c r="B3" s="28"/>
      <c r="C3" s="28"/>
      <c r="D3" s="28"/>
      <c r="E3" s="28"/>
    </row>
    <row r="4" ht="13.55" customHeight="1">
      <c r="A4" s="28"/>
      <c r="B4" s="28"/>
      <c r="C4" s="28"/>
      <c r="D4" s="28"/>
      <c r="E4" s="28"/>
    </row>
    <row r="5" ht="13.55" customHeight="1">
      <c r="A5" s="28"/>
      <c r="B5" s="28"/>
      <c r="C5" s="28"/>
      <c r="D5" s="28"/>
      <c r="E5" s="28"/>
    </row>
    <row r="6" ht="13.55" customHeight="1">
      <c r="A6" s="28"/>
      <c r="B6" s="28"/>
      <c r="C6" s="28"/>
      <c r="D6" s="28"/>
      <c r="E6" s="28"/>
    </row>
    <row r="7" ht="13.55" customHeight="1">
      <c r="A7" s="28"/>
      <c r="B7" s="28"/>
      <c r="C7" s="28"/>
      <c r="D7" s="28"/>
      <c r="E7" s="28"/>
    </row>
    <row r="8" ht="13.55" customHeight="1">
      <c r="A8" s="28"/>
      <c r="B8" s="28"/>
      <c r="C8" s="28"/>
      <c r="D8" s="28"/>
      <c r="E8" s="28"/>
    </row>
    <row r="9" ht="13.55" customHeight="1">
      <c r="A9" s="28"/>
      <c r="B9" s="28"/>
      <c r="C9" s="28"/>
      <c r="D9" s="28"/>
      <c r="E9" s="28"/>
    </row>
    <row r="10" ht="13.55" customHeight="1">
      <c r="A10" s="28"/>
      <c r="B10" s="28"/>
      <c r="C10" s="28"/>
      <c r="D10" s="28"/>
      <c r="E10" s="28"/>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